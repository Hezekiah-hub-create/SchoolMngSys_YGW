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zekiah Tounou\Desktop\school-management-system\D0c$\"/>
    </mc:Choice>
  </mc:AlternateContent>
  <xr:revisionPtr revIDLastSave="0" documentId="13_ncr:1_{802D2F3B-0773-405E-B04A-01E657DC190C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L4" i="1"/>
  <c r="K4" i="1"/>
  <c r="J4" i="1"/>
  <c r="I4" i="1"/>
  <c r="G4" i="1"/>
  <c r="F4" i="1"/>
</calcChain>
</file>

<file path=xl/sharedStrings.xml><?xml version="1.0" encoding="utf-8"?>
<sst xmlns="http://schemas.openxmlformats.org/spreadsheetml/2006/main" count="53" uniqueCount="51">
  <si>
    <t>NAMES</t>
  </si>
  <si>
    <t>CAT 1</t>
  </si>
  <si>
    <t>CAT 2</t>
  </si>
  <si>
    <t>TOTAL</t>
  </si>
  <si>
    <t>EXAM</t>
  </si>
  <si>
    <t xml:space="preserve">TOTAL </t>
  </si>
  <si>
    <t>GRADE</t>
  </si>
  <si>
    <t>GW</t>
  </si>
  <si>
    <t>POS</t>
  </si>
  <si>
    <t>INTERPRETATION</t>
  </si>
  <si>
    <t xml:space="preserve"> </t>
  </si>
  <si>
    <t>PW</t>
  </si>
  <si>
    <t xml:space="preserve">             TERMLY ASSESSMENT RECORDING SHEET</t>
  </si>
  <si>
    <t xml:space="preserve">  TERMLY ASSESSMENT RECORDING SHEET            </t>
  </si>
  <si>
    <t>BASIC 5</t>
  </si>
  <si>
    <t xml:space="preserve">TEACHER: </t>
  </si>
  <si>
    <t xml:space="preserve">               SUBJECT:  </t>
  </si>
  <si>
    <t>Affram, Dela</t>
  </si>
  <si>
    <t>Aganya, Micah Seyram</t>
  </si>
  <si>
    <t>Agbenu, Rapha Kings</t>
  </si>
  <si>
    <t>Ahiahonu, Barack Kodzo</t>
  </si>
  <si>
    <t>Ahiahonu, Beryl Bubune</t>
  </si>
  <si>
    <t>Ahorletey, Prosper</t>
  </si>
  <si>
    <t>Akortsu, Clinton Etornam</t>
  </si>
  <si>
    <t xml:space="preserve">Amewuga, Felix Nuna </t>
  </si>
  <si>
    <t>Amexo, Briana Abra</t>
  </si>
  <si>
    <t>Anku, Nelson Mawuenyega</t>
  </si>
  <si>
    <t>Asamoah, Britnancy Pokua</t>
  </si>
  <si>
    <t>Azumah, Lisa</t>
  </si>
  <si>
    <t>Bansah, Sunnuh Enam M.</t>
  </si>
  <si>
    <t xml:space="preserve">Dumehasi, Divine Kormla </t>
  </si>
  <si>
    <t>Dzukey, Makafui Joshua</t>
  </si>
  <si>
    <t xml:space="preserve">Klomegah, Kwashie Adepa </t>
  </si>
  <si>
    <t xml:space="preserve">Kudivor, Destiny Nuna </t>
  </si>
  <si>
    <t>Kumah, Machaseh Sitsofe</t>
  </si>
  <si>
    <t>Kwabla, Giovanni Etornam</t>
  </si>
  <si>
    <t>Kwashie, Nilah Deladem</t>
  </si>
  <si>
    <t>Nunyonameh, Johannes Enam</t>
  </si>
  <si>
    <t>Nurudeen, Abdul Mughees</t>
  </si>
  <si>
    <t>Otoo, Aseda Lesime</t>
  </si>
  <si>
    <t>Quartey, Zadok</t>
  </si>
  <si>
    <t xml:space="preserve">Saji, Selikplim </t>
  </si>
  <si>
    <t>Sosu, Sheperd Kekeli</t>
  </si>
  <si>
    <t>Tsinyo, Tay Edzordzinam</t>
  </si>
  <si>
    <t>Woanyah, Eyram Afi</t>
  </si>
  <si>
    <t>Yinkah, Asantewaa Ekua</t>
  </si>
  <si>
    <t>TERM: 3 - 2024/2025</t>
  </si>
  <si>
    <t>Agbavitor, Caleb</t>
  </si>
  <si>
    <t>Ewe</t>
  </si>
  <si>
    <t xml:space="preserve">Dzogbelu Faustina </t>
  </si>
  <si>
    <t>Apoh Paula Senam Yawa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</si>
</sst>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b/>
      <sz val="14"/>
      <color rgb="FF0070C0"/>
      <name val="Calibri"/>
    </font>
    <font>
      <b/>
      <sz val="12"/>
      <name val="Calibri"/>
    </font>
    <font>
      <b/>
      <sz val="14"/>
      <name val="Calibri"/>
    </font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4"/>
      <color rgb="FF000000"/>
      <name val="Times New Roman"/>
    </font>
    <font>
      <b/>
      <sz val="12"/>
      <color rgb="FF000000"/>
      <name val="Century Gothic"/>
    </font>
    <font>
      <sz val="11"/>
      <name val="Calibri"/>
    </font>
    <font>
      <b/>
      <sz val="11"/>
      <name val="Calibri"/>
    </font>
    <font>
      <b/>
      <sz val="12"/>
      <color rgb="FF000000"/>
      <name val="Century"/>
    </font>
    <font>
      <sz val="11"/>
      <color rgb="FFFF0000"/>
      <name val="Calibri"/>
    </font>
    <font>
      <b/>
      <sz val="11"/>
      <color rgb="FFFF0000"/>
      <name val="Calibri"/>
    </font>
    <font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5"/>
  <sheetViews>
    <sheetView tabSelected="1" zoomScale="109" workbookViewId="0">
      <selection activeCell="G1" sqref="G1"/>
    </sheetView>
  </sheetViews>
  <sheetFormatPr defaultColWidth="10" defaultRowHeight="15" x14ac:dyDescent="0.25"/>
  <cols>
    <col min="1" max="1" width="37.7109375" customWidth="1"/>
    <col min="2" max="2" width="7.7109375" customWidth="1"/>
    <col min="3" max="3" width="7.5703125" customWidth="1"/>
    <col min="4" max="4" width="7.28515625" customWidth="1"/>
    <col min="5" max="5" width="7.7109375" customWidth="1"/>
    <col min="6" max="6" width="23.140625" customWidth="1"/>
    <col min="7" max="7" width="32.42578125" customWidth="1"/>
    <col min="8" max="8" width="43" customWidth="1"/>
    <col min="9" max="9" width="7.28515625" customWidth="1"/>
    <col min="10" max="10" width="7.7109375" customWidth="1"/>
    <col min="11" max="11" width="7" customWidth="1"/>
    <col min="12" max="12" width="8.5703125" customWidth="1"/>
    <col min="13" max="13" width="19.5703125" customWidth="1"/>
  </cols>
  <sheetData>
    <row r="1" spans="1:13" ht="18.75" x14ac:dyDescent="0.3">
      <c r="A1" s="1" t="s">
        <v>10</v>
      </c>
      <c r="B1" s="2"/>
      <c r="C1" s="3"/>
      <c r="D1" s="3"/>
      <c r="E1" s="3" t="s">
        <v>12</v>
      </c>
      <c r="F1" s="3" t="s">
        <v>13</v>
      </c>
      <c r="G1" s="3"/>
      <c r="H1" s="3"/>
      <c r="I1" s="2"/>
      <c r="J1" s="2"/>
      <c r="K1" s="2"/>
      <c r="L1" s="2"/>
      <c r="M1" s="2"/>
    </row>
    <row r="2" spans="1:13" ht="15.75" x14ac:dyDescent="0.25">
      <c r="A2" s="4"/>
      <c r="B2" s="2" t="s">
        <v>16</v>
      </c>
      <c r="C2" s="2"/>
      <c r="D2" s="2" t="s">
        <v>48</v>
      </c>
      <c r="E2" s="2"/>
      <c r="F2" s="2" t="s">
        <v>15</v>
      </c>
      <c r="G2" s="2" t="s">
        <v>49</v>
      </c>
      <c r="H2" s="2"/>
      <c r="I2" s="2"/>
      <c r="J2" s="2" t="s">
        <v>14</v>
      </c>
      <c r="K2" s="2"/>
      <c r="L2" s="2" t="s">
        <v>46</v>
      </c>
      <c r="M2" s="2"/>
    </row>
    <row r="3" spans="1:13" ht="18.75" x14ac:dyDescent="0.3">
      <c r="A3" s="3" t="s">
        <v>0</v>
      </c>
      <c r="B3" s="5" t="s">
        <v>1</v>
      </c>
      <c r="C3" s="5" t="s">
        <v>7</v>
      </c>
      <c r="D3" s="5" t="s">
        <v>2</v>
      </c>
      <c r="E3" s="5" t="s">
        <v>11</v>
      </c>
      <c r="F3" s="2" t="s">
        <v>3</v>
      </c>
      <c r="G3" s="6">
        <v>0.5</v>
      </c>
      <c r="H3" s="2" t="s">
        <v>4</v>
      </c>
      <c r="I3" s="7">
        <v>0.5</v>
      </c>
      <c r="J3" s="2" t="s">
        <v>5</v>
      </c>
      <c r="K3" s="7" t="s">
        <v>8</v>
      </c>
      <c r="L3" s="2" t="s">
        <v>6</v>
      </c>
      <c r="M3" s="8" t="s">
        <v>9</v>
      </c>
    </row>
    <row r="4" spans="1:13" ht="18.75" x14ac:dyDescent="0.25">
      <c r="A4" s="9" t="s">
        <v>17</v>
      </c>
      <c r="B4" s="10">
        <v>19</v>
      </c>
      <c r="C4" s="4">
        <v>25</v>
      </c>
      <c r="D4" s="4">
        <v>15</v>
      </c>
      <c r="E4" s="4">
        <v>20</v>
      </c>
      <c r="F4" s="11">
        <f>SUM(B4:E4)</f>
        <v>79</v>
      </c>
      <c r="G4" s="12">
        <f>F4:F13/100*50</f>
        <v>39.5</v>
      </c>
      <c r="H4" s="4">
        <v>79</v>
      </c>
      <c r="I4" s="12">
        <f>H4/100*50</f>
        <v>39.5</v>
      </c>
      <c r="J4" s="8">
        <f>SUM(G4,I4)</f>
        <v>79</v>
      </c>
      <c r="K4" s="12">
        <f>RANK(J4,$J$4:$J$34)</f>
        <v>1</v>
      </c>
      <c r="L4" s="12" t="str">
        <f>IF(J4&gt;=85,"1",IF(J4&gt;=80,"2",IF(J4&gt;=75,"3",IF(J4&gt;=70,"4",IF(J4&gt;=60,"5",IF(J4&gt;=55,"6",IF(J4&gt;=50,"7",IF(J4&gt;=45,"8",IF(J4&gt;=0,"9")))))))))</f>
        <v>3</v>
      </c>
      <c r="M4" s="8" t="str">
        <f>IF(L4="1","Highest",IF(L4="2","Higher",IF(L4="3","High",IF(L4="4","High Average",IF(L4="5","Average",IF(L4="6","Lower Average",IF(L4="7","Low",IF(L4="8","Lower",IF(L4="9","Lowest")))))))))</f>
        <v>High</v>
      </c>
    </row>
    <row r="5" spans="1:13" ht="18.75" x14ac:dyDescent="0.25">
      <c r="A5" s="9" t="s">
        <v>18</v>
      </c>
      <c r="B5" s="13">
        <v>21</v>
      </c>
      <c r="C5" s="4">
        <v>25</v>
      </c>
      <c r="D5" s="4">
        <v>21</v>
      </c>
      <c r="E5" s="4">
        <v>23</v>
      </c>
      <c r="F5" s="14"/>
      <c r="G5" s="12"/>
      <c r="H5" s="4">
        <v>92</v>
      </c>
      <c r="I5" s="12"/>
      <c r="J5" s="8"/>
      <c r="K5" s="12"/>
      <c r="L5" s="15"/>
      <c r="M5" s="8"/>
    </row>
    <row r="6" spans="1:13" ht="18.75" x14ac:dyDescent="0.25">
      <c r="A6" s="9" t="s">
        <v>47</v>
      </c>
      <c r="B6" s="13">
        <v>18</v>
      </c>
      <c r="C6" s="4">
        <v>20</v>
      </c>
      <c r="D6" s="4">
        <v>14</v>
      </c>
      <c r="E6" s="4">
        <v>25</v>
      </c>
      <c r="F6" s="14"/>
      <c r="G6" s="12"/>
      <c r="H6" s="4">
        <v>72</v>
      </c>
      <c r="I6" s="12"/>
      <c r="J6" s="8"/>
      <c r="K6" s="12"/>
      <c r="L6" s="15"/>
      <c r="M6" s="8"/>
    </row>
    <row r="7" spans="1:13" ht="18.75" x14ac:dyDescent="0.25">
      <c r="A7" s="9" t="s">
        <v>19</v>
      </c>
      <c r="B7" s="13">
        <v>18</v>
      </c>
      <c r="C7" s="4">
        <v>18</v>
      </c>
      <c r="D7" s="4">
        <v>6</v>
      </c>
      <c r="E7" s="4">
        <v>23</v>
      </c>
      <c r="F7" s="14"/>
      <c r="G7" s="12"/>
      <c r="H7" s="4">
        <v>58</v>
      </c>
      <c r="I7" s="12"/>
      <c r="J7" s="8"/>
      <c r="K7" s="12"/>
      <c r="L7" s="15"/>
      <c r="M7" s="8"/>
    </row>
    <row r="8" spans="1:13" ht="18.75" x14ac:dyDescent="0.25">
      <c r="A8" s="9" t="s">
        <v>20</v>
      </c>
      <c r="B8" s="13">
        <v>13</v>
      </c>
      <c r="C8" s="4">
        <v>15</v>
      </c>
      <c r="D8" s="4">
        <v>8</v>
      </c>
      <c r="E8" s="4">
        <v>13</v>
      </c>
      <c r="F8" s="14"/>
      <c r="G8" s="12"/>
      <c r="H8" s="4">
        <v>26</v>
      </c>
      <c r="I8" s="12"/>
      <c r="J8" s="8"/>
      <c r="K8" s="12"/>
      <c r="L8" s="15"/>
      <c r="M8" s="8"/>
    </row>
    <row r="9" spans="1:13" ht="18.75" x14ac:dyDescent="0.25">
      <c r="A9" s="9" t="s">
        <v>21</v>
      </c>
      <c r="B9" s="13">
        <v>25</v>
      </c>
      <c r="C9" s="4">
        <v>24</v>
      </c>
      <c r="D9" s="4">
        <v>21</v>
      </c>
      <c r="E9" s="4">
        <v>23</v>
      </c>
      <c r="F9" s="14"/>
      <c r="G9" s="12"/>
      <c r="H9" s="4">
        <v>94</v>
      </c>
      <c r="I9" s="12"/>
      <c r="J9" s="8"/>
      <c r="K9" s="12"/>
      <c r="L9" s="15"/>
      <c r="M9" s="8"/>
    </row>
    <row r="10" spans="1:13" ht="18.75" x14ac:dyDescent="0.25">
      <c r="A10" s="9" t="s">
        <v>22</v>
      </c>
      <c r="B10" s="13">
        <v>14</v>
      </c>
      <c r="C10" s="4">
        <v>19</v>
      </c>
      <c r="D10" s="4">
        <v>10</v>
      </c>
      <c r="E10" s="4">
        <v>20</v>
      </c>
      <c r="F10" s="14"/>
      <c r="G10" s="12"/>
      <c r="H10" s="4">
        <v>48</v>
      </c>
      <c r="I10" s="12"/>
      <c r="J10" s="8"/>
      <c r="K10" s="12"/>
      <c r="L10" s="15"/>
      <c r="M10" s="8"/>
    </row>
    <row r="11" spans="1:13" ht="18.75" x14ac:dyDescent="0.25">
      <c r="A11" s="9" t="s">
        <v>23</v>
      </c>
      <c r="B11" s="13">
        <v>22</v>
      </c>
      <c r="C11" s="4">
        <v>16</v>
      </c>
      <c r="D11" s="4">
        <v>14</v>
      </c>
      <c r="E11" s="4">
        <v>20</v>
      </c>
      <c r="F11" s="14"/>
      <c r="G11" s="12"/>
      <c r="H11" s="4">
        <v>64</v>
      </c>
      <c r="I11" s="12"/>
      <c r="J11" s="8"/>
      <c r="K11" s="12"/>
      <c r="L11" s="15"/>
      <c r="M11" s="8"/>
    </row>
    <row r="12" spans="1:13" ht="18.75" x14ac:dyDescent="0.25">
      <c r="A12" s="9" t="s">
        <v>24</v>
      </c>
      <c r="B12" s="13">
        <v>21</v>
      </c>
      <c r="C12" s="4">
        <v>25</v>
      </c>
      <c r="D12" s="4">
        <v>14</v>
      </c>
      <c r="E12" s="4">
        <v>15</v>
      </c>
      <c r="F12" s="14"/>
      <c r="G12" s="12"/>
      <c r="H12" s="4">
        <v>33</v>
      </c>
      <c r="I12" s="12"/>
      <c r="J12" s="8"/>
      <c r="K12" s="12"/>
      <c r="L12" s="15"/>
      <c r="M12" s="8"/>
    </row>
    <row r="13" spans="1:13" ht="18.75" x14ac:dyDescent="0.25">
      <c r="A13" s="9" t="s">
        <v>25</v>
      </c>
      <c r="B13" s="13">
        <v>5</v>
      </c>
      <c r="C13" s="4">
        <v>25</v>
      </c>
      <c r="D13" s="4">
        <v>14</v>
      </c>
      <c r="E13" s="4">
        <v>15</v>
      </c>
      <c r="F13" s="14"/>
      <c r="G13" s="12"/>
      <c r="H13" s="4">
        <v>30</v>
      </c>
      <c r="I13" s="12"/>
      <c r="J13" s="8"/>
      <c r="K13" s="12"/>
      <c r="L13" s="15"/>
      <c r="M13" s="8"/>
    </row>
    <row r="14" spans="1:13" ht="18.75" x14ac:dyDescent="0.25">
      <c r="A14" s="9" t="s">
        <v>26</v>
      </c>
      <c r="B14" s="13">
        <v>21</v>
      </c>
      <c r="C14" s="4">
        <v>18</v>
      </c>
      <c r="D14" s="4">
        <v>20</v>
      </c>
      <c r="E14" s="4">
        <v>25</v>
      </c>
      <c r="F14" s="14"/>
      <c r="G14" s="12"/>
      <c r="H14" s="4">
        <v>54</v>
      </c>
      <c r="I14" s="12"/>
      <c r="J14" s="8"/>
      <c r="K14" s="12"/>
      <c r="L14" s="15"/>
      <c r="M14" s="8"/>
    </row>
    <row r="15" spans="1:13" ht="18.75" x14ac:dyDescent="0.25">
      <c r="A15" s="9" t="s">
        <v>50</v>
      </c>
      <c r="B15" s="13">
        <v>21</v>
      </c>
      <c r="C15" s="4">
        <v>25</v>
      </c>
      <c r="D15" s="4">
        <v>15</v>
      </c>
      <c r="E15" s="4">
        <v>25</v>
      </c>
      <c r="F15" s="14"/>
      <c r="G15" s="12"/>
      <c r="H15" s="4">
        <v>48</v>
      </c>
      <c r="I15" s="12"/>
      <c r="J15" s="8"/>
      <c r="K15" s="12"/>
      <c r="L15" s="15"/>
      <c r="M15" s="8"/>
    </row>
    <row r="16" spans="1:13" ht="18.75" x14ac:dyDescent="0.25">
      <c r="A16" s="9" t="s">
        <v>27</v>
      </c>
      <c r="B16" s="13">
        <v>14</v>
      </c>
      <c r="C16" s="4">
        <v>25</v>
      </c>
      <c r="D16" s="4">
        <v>22</v>
      </c>
      <c r="E16" s="4">
        <v>25</v>
      </c>
      <c r="F16" s="14"/>
      <c r="G16" s="12"/>
      <c r="H16" s="4">
        <v>68</v>
      </c>
      <c r="I16" s="12"/>
      <c r="J16" s="8"/>
      <c r="K16" s="12"/>
      <c r="L16" s="15"/>
      <c r="M16" s="8"/>
    </row>
    <row r="17" spans="1:16" ht="18.75" x14ac:dyDescent="0.25">
      <c r="A17" s="9" t="s">
        <v>28</v>
      </c>
      <c r="B17" s="13">
        <v>18</v>
      </c>
      <c r="C17" s="4">
        <v>25</v>
      </c>
      <c r="D17" s="4">
        <v>11</v>
      </c>
      <c r="E17" s="4">
        <v>22</v>
      </c>
      <c r="F17" s="14"/>
      <c r="G17" s="12"/>
      <c r="H17" s="4">
        <v>66</v>
      </c>
      <c r="I17" s="12"/>
      <c r="J17" s="8"/>
      <c r="K17" s="12"/>
      <c r="L17" s="15"/>
      <c r="M17" s="8"/>
      <c r="P17" t="s">
        <v>10</v>
      </c>
    </row>
    <row r="18" spans="1:16" ht="18.75" x14ac:dyDescent="0.25">
      <c r="A18" s="9" t="s">
        <v>29</v>
      </c>
      <c r="B18" s="13">
        <v>25</v>
      </c>
      <c r="C18" s="4">
        <v>25</v>
      </c>
      <c r="D18" s="4">
        <v>23</v>
      </c>
      <c r="E18" s="4">
        <v>25</v>
      </c>
      <c r="F18" s="14"/>
      <c r="G18" s="12"/>
      <c r="H18" s="4">
        <v>92</v>
      </c>
      <c r="I18" s="12"/>
      <c r="J18" s="8"/>
      <c r="K18" s="12"/>
      <c r="L18" s="15"/>
      <c r="M18" s="8"/>
    </row>
    <row r="19" spans="1:16" ht="18.75" x14ac:dyDescent="0.25">
      <c r="A19" s="9" t="s">
        <v>30</v>
      </c>
      <c r="B19" s="13">
        <v>24</v>
      </c>
      <c r="C19" s="4">
        <v>15</v>
      </c>
      <c r="D19" s="4">
        <v>19</v>
      </c>
      <c r="E19" s="4">
        <v>23</v>
      </c>
      <c r="F19" s="14"/>
      <c r="G19" s="12"/>
      <c r="H19" s="4">
        <v>73</v>
      </c>
      <c r="I19" s="12"/>
      <c r="J19" s="8"/>
      <c r="K19" s="12"/>
      <c r="L19" s="15"/>
      <c r="M19" s="8"/>
    </row>
    <row r="20" spans="1:16" ht="18.75" x14ac:dyDescent="0.25">
      <c r="A20" s="9" t="s">
        <v>31</v>
      </c>
      <c r="B20" s="13">
        <v>8</v>
      </c>
      <c r="C20" s="4">
        <v>24</v>
      </c>
      <c r="D20" s="4">
        <v>5</v>
      </c>
      <c r="E20" s="4">
        <v>18</v>
      </c>
      <c r="F20" s="14"/>
      <c r="G20" s="12"/>
      <c r="H20" s="4">
        <v>53</v>
      </c>
      <c r="I20" s="12"/>
      <c r="J20" s="8"/>
      <c r="K20" s="12"/>
      <c r="L20" s="15"/>
      <c r="M20" s="8"/>
    </row>
    <row r="21" spans="1:16" ht="18.75" x14ac:dyDescent="0.25">
      <c r="A21" s="9" t="s">
        <v>32</v>
      </c>
      <c r="B21" s="13">
        <v>15</v>
      </c>
      <c r="C21" s="4">
        <v>18</v>
      </c>
      <c r="D21" s="4">
        <v>14</v>
      </c>
      <c r="E21" s="4">
        <v>10</v>
      </c>
      <c r="F21" s="14"/>
      <c r="G21" s="12"/>
      <c r="H21" s="4">
        <v>24</v>
      </c>
      <c r="I21" s="12"/>
      <c r="J21" s="8"/>
      <c r="K21" s="12"/>
      <c r="L21" s="15"/>
      <c r="M21" s="8"/>
    </row>
    <row r="22" spans="1:16" ht="18.75" x14ac:dyDescent="0.25">
      <c r="A22" s="9" t="s">
        <v>33</v>
      </c>
      <c r="B22" s="13">
        <v>20</v>
      </c>
      <c r="C22" s="4">
        <v>15</v>
      </c>
      <c r="D22" s="4">
        <v>12</v>
      </c>
      <c r="E22" s="4">
        <v>22</v>
      </c>
      <c r="F22" s="14"/>
      <c r="G22" s="12"/>
      <c r="H22" s="4">
        <v>57</v>
      </c>
      <c r="I22" s="12"/>
      <c r="J22" s="8"/>
      <c r="K22" s="12"/>
      <c r="L22" s="15"/>
      <c r="M22" s="8"/>
      <c r="O22" t="s">
        <v>10</v>
      </c>
    </row>
    <row r="23" spans="1:16" ht="18.75" x14ac:dyDescent="0.25">
      <c r="A23" s="9" t="s">
        <v>34</v>
      </c>
      <c r="B23" s="13">
        <v>25</v>
      </c>
      <c r="C23" s="4">
        <v>24</v>
      </c>
      <c r="D23" s="4">
        <v>19</v>
      </c>
      <c r="E23" s="4">
        <v>20</v>
      </c>
      <c r="F23" s="14"/>
      <c r="G23" s="12"/>
      <c r="H23" s="4">
        <v>93</v>
      </c>
      <c r="I23" s="12"/>
      <c r="J23" s="8"/>
      <c r="K23" s="12"/>
      <c r="L23" s="15"/>
      <c r="M23" s="8"/>
    </row>
    <row r="24" spans="1:16" ht="18.75" x14ac:dyDescent="0.25">
      <c r="A24" s="9" t="s">
        <v>35</v>
      </c>
      <c r="B24" s="13">
        <v>14</v>
      </c>
      <c r="C24" s="4">
        <v>25</v>
      </c>
      <c r="D24" s="4">
        <v>13</v>
      </c>
      <c r="E24" s="4">
        <v>14</v>
      </c>
      <c r="F24" s="14"/>
      <c r="G24" s="12"/>
      <c r="H24" s="4">
        <v>58</v>
      </c>
      <c r="I24" s="12"/>
      <c r="J24" s="8"/>
      <c r="K24" s="12"/>
      <c r="L24" s="15"/>
      <c r="M24" s="8"/>
    </row>
    <row r="25" spans="1:16" ht="18.75" x14ac:dyDescent="0.25">
      <c r="A25" s="9" t="s">
        <v>36</v>
      </c>
      <c r="B25" s="13">
        <v>17</v>
      </c>
      <c r="C25" s="4">
        <v>24</v>
      </c>
      <c r="D25" s="4">
        <v>15</v>
      </c>
      <c r="E25" s="4">
        <v>25</v>
      </c>
      <c r="F25" s="14"/>
      <c r="G25" s="12"/>
      <c r="H25" s="4">
        <v>61</v>
      </c>
      <c r="I25" s="12"/>
      <c r="J25" s="8"/>
      <c r="K25" s="12"/>
      <c r="L25" s="15"/>
      <c r="M25" s="8"/>
    </row>
    <row r="26" spans="1:16" ht="18.75" x14ac:dyDescent="0.25">
      <c r="A26" s="9" t="s">
        <v>37</v>
      </c>
      <c r="B26" s="13">
        <v>23</v>
      </c>
      <c r="C26" s="4">
        <v>14</v>
      </c>
      <c r="D26" s="4">
        <v>19</v>
      </c>
      <c r="E26" s="4">
        <v>25</v>
      </c>
      <c r="F26" s="14"/>
      <c r="G26" s="12"/>
      <c r="H26" s="4">
        <v>88</v>
      </c>
      <c r="I26" s="12"/>
      <c r="J26" s="8"/>
      <c r="K26" s="12"/>
      <c r="L26" s="15"/>
      <c r="M26" s="8"/>
    </row>
    <row r="27" spans="1:16" ht="18.75" x14ac:dyDescent="0.25">
      <c r="A27" s="9" t="s">
        <v>38</v>
      </c>
      <c r="B27" s="13">
        <v>16</v>
      </c>
      <c r="C27" s="4">
        <v>25</v>
      </c>
      <c r="D27" s="4">
        <v>17</v>
      </c>
      <c r="E27" s="4">
        <v>25</v>
      </c>
      <c r="F27" s="14"/>
      <c r="G27" s="12"/>
      <c r="H27" s="4">
        <v>72</v>
      </c>
      <c r="I27" s="12"/>
      <c r="J27" s="8"/>
      <c r="K27" s="12"/>
      <c r="L27" s="15"/>
      <c r="M27" s="8"/>
    </row>
    <row r="28" spans="1:16" ht="18.75" x14ac:dyDescent="0.3">
      <c r="A28" s="16" t="s">
        <v>39</v>
      </c>
      <c r="B28" s="13">
        <v>10</v>
      </c>
      <c r="C28" s="4">
        <v>15</v>
      </c>
      <c r="D28" s="4">
        <v>12</v>
      </c>
      <c r="E28" s="4">
        <v>16</v>
      </c>
      <c r="F28" s="14"/>
      <c r="G28" s="12"/>
      <c r="H28" s="4">
        <v>18</v>
      </c>
      <c r="I28" s="12"/>
      <c r="J28" s="8"/>
      <c r="K28" s="12"/>
      <c r="L28" s="15"/>
      <c r="M28" s="8"/>
    </row>
    <row r="29" spans="1:16" ht="18.75" x14ac:dyDescent="0.25">
      <c r="A29" s="9" t="s">
        <v>40</v>
      </c>
      <c r="B29">
        <v>5</v>
      </c>
      <c r="C29">
        <v>10</v>
      </c>
      <c r="D29">
        <v>12</v>
      </c>
      <c r="E29">
        <v>15</v>
      </c>
      <c r="H29">
        <v>33</v>
      </c>
      <c r="J29" s="8"/>
      <c r="L29" s="15"/>
    </row>
    <row r="30" spans="1:16" ht="18.75" x14ac:dyDescent="0.25">
      <c r="A30" s="9" t="s">
        <v>41</v>
      </c>
      <c r="B30">
        <v>22</v>
      </c>
      <c r="C30">
        <v>18</v>
      </c>
      <c r="D30">
        <v>19</v>
      </c>
      <c r="E30">
        <v>25</v>
      </c>
      <c r="H30">
        <v>65</v>
      </c>
    </row>
    <row r="31" spans="1:16" ht="18.75" x14ac:dyDescent="0.25">
      <c r="A31" s="9" t="s">
        <v>42</v>
      </c>
      <c r="B31">
        <v>10</v>
      </c>
      <c r="C31">
        <v>15</v>
      </c>
      <c r="D31">
        <v>13</v>
      </c>
      <c r="E31">
        <v>10</v>
      </c>
      <c r="H31">
        <v>16</v>
      </c>
    </row>
    <row r="32" spans="1:16" ht="18.75" x14ac:dyDescent="0.25">
      <c r="A32" s="9" t="s">
        <v>43</v>
      </c>
      <c r="B32">
        <v>20</v>
      </c>
      <c r="C32">
        <v>25</v>
      </c>
      <c r="D32">
        <v>23</v>
      </c>
      <c r="E32">
        <v>25</v>
      </c>
      <c r="H32">
        <v>90</v>
      </c>
    </row>
    <row r="33" spans="1:8" ht="18.75" x14ac:dyDescent="0.25">
      <c r="A33" s="9" t="s">
        <v>44</v>
      </c>
      <c r="B33">
        <v>21</v>
      </c>
      <c r="C33">
        <v>25</v>
      </c>
      <c r="D33">
        <v>16</v>
      </c>
      <c r="E33">
        <v>25</v>
      </c>
      <c r="H33">
        <v>89</v>
      </c>
    </row>
    <row r="34" spans="1:8" ht="18.75" x14ac:dyDescent="0.25">
      <c r="A34" s="9" t="s">
        <v>45</v>
      </c>
      <c r="B34">
        <v>17</v>
      </c>
      <c r="C34">
        <v>20</v>
      </c>
      <c r="D34">
        <v>15</v>
      </c>
      <c r="E34">
        <v>18</v>
      </c>
      <c r="H34">
        <v>54</v>
      </c>
    </row>
    <row r="45" spans="1:8" hidden="1" x14ac:dyDescent="0.25"/>
  </sheetData>
  <printOptions headings="1" gridLines="1"/>
  <pageMargins left="0.25" right="0.25" top="0.75" bottom="0.75" header="0.3" footer="0.3"/>
  <pageSetup paperSize="9" scale="8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Jnr Job</dc:creator>
  <cp:lastModifiedBy>Hezekiah Tounou</cp:lastModifiedBy>
  <dcterms:created xsi:type="dcterms:W3CDTF">2021-05-01T18:04:20Z</dcterms:created>
  <dcterms:modified xsi:type="dcterms:W3CDTF">2026-05-25T11:42:46Z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70960927877b45948f4892c5257f1a76</vt:lpwstr>
  </property>
</Properties>
</file>