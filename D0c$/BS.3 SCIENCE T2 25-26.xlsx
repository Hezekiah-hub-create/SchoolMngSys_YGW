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sson Documents\Year 6 - 25-26\Markbook\Term 2\End Of Term\"/>
    </mc:Choice>
  </mc:AlternateContent>
  <xr:revisionPtr revIDLastSave="0" documentId="13_ncr:1_{6003125A-2ADC-490E-9B33-F1A79740476D}" xr6:coauthVersionLast="47" xr6:coauthVersionMax="47" xr10:uidLastSave="{00000000-0000-0000-0000-000000000000}"/>
  <bookViews>
    <workbookView xWindow="9490" yWindow="130" windowWidth="9710" windowHeight="10300" xr2:uid="{00000000-000D-0000-FFFF-FFFF00000000}"/>
  </bookViews>
  <sheets>
    <sheet name="SCIENC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5" l="1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I5" i="5"/>
  <c r="I6" i="5"/>
  <c r="I7" i="5"/>
  <c r="I8" i="5"/>
  <c r="I9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G6" i="5"/>
  <c r="G7" i="5"/>
  <c r="G9" i="5"/>
  <c r="G10" i="5"/>
  <c r="G11" i="5"/>
  <c r="G12" i="5"/>
  <c r="G14" i="5"/>
  <c r="G15" i="5"/>
  <c r="G17" i="5"/>
  <c r="G18" i="5"/>
  <c r="G19" i="5"/>
  <c r="G20" i="5"/>
  <c r="G22" i="5"/>
  <c r="G23" i="5"/>
  <c r="G25" i="5"/>
  <c r="G26" i="5"/>
  <c r="G27" i="5"/>
  <c r="F5" i="5"/>
  <c r="G5" i="5" s="1"/>
  <c r="F6" i="5"/>
  <c r="F7" i="5"/>
  <c r="F8" i="5"/>
  <c r="G8" i="5" s="1"/>
  <c r="F9" i="5"/>
  <c r="F10" i="5"/>
  <c r="F11" i="5"/>
  <c r="F12" i="5"/>
  <c r="F13" i="5"/>
  <c r="G13" i="5" s="1"/>
  <c r="F14" i="5"/>
  <c r="F15" i="5"/>
  <c r="F16" i="5"/>
  <c r="G16" i="5" s="1"/>
  <c r="F17" i="5"/>
  <c r="F18" i="5"/>
  <c r="F19" i="5"/>
  <c r="F20" i="5"/>
  <c r="F21" i="5"/>
  <c r="G21" i="5" s="1"/>
  <c r="F22" i="5"/>
  <c r="F23" i="5"/>
  <c r="F24" i="5"/>
  <c r="G24" i="5" s="1"/>
  <c r="F25" i="5"/>
  <c r="F26" i="5"/>
  <c r="F27" i="5"/>
  <c r="F4" i="5"/>
  <c r="G4" i="5" s="1"/>
  <c r="I4" i="5"/>
  <c r="J4" i="5" l="1"/>
  <c r="L4" i="5" l="1"/>
  <c r="M4" i="5" s="1"/>
  <c r="K4" i="5"/>
</calcChain>
</file>

<file path=xl/sharedStrings.xml><?xml version="1.0" encoding="utf-8"?>
<sst xmlns="http://schemas.openxmlformats.org/spreadsheetml/2006/main" count="43" uniqueCount="42">
  <si>
    <t>NAMES</t>
  </si>
  <si>
    <t>CAT 1</t>
  </si>
  <si>
    <t>CAT 2</t>
  </si>
  <si>
    <t>TOTAL</t>
  </si>
  <si>
    <t>EXAM</t>
  </si>
  <si>
    <t xml:space="preserve">TOTAL </t>
  </si>
  <si>
    <t>GRADE</t>
  </si>
  <si>
    <t>GW</t>
  </si>
  <si>
    <t>POS</t>
  </si>
  <si>
    <t>INTERPRETATION</t>
  </si>
  <si>
    <t xml:space="preserve"> </t>
  </si>
  <si>
    <t>PW</t>
  </si>
  <si>
    <t>TEACHER: MR. ANIM</t>
  </si>
  <si>
    <t xml:space="preserve">             TERMLY ASSESSMENT RECORDING SHEET</t>
  </si>
  <si>
    <t xml:space="preserve">  TERMLY ASSESSMENT RECORDING SHEET            </t>
  </si>
  <si>
    <t xml:space="preserve">                   SUBJECT: SCIENCE  </t>
  </si>
  <si>
    <t>BASIC 3</t>
  </si>
  <si>
    <t>Adzasu Princess</t>
  </si>
  <si>
    <t>Ampofo Agyei Yaa</t>
  </si>
  <si>
    <t>Anku Perpertual</t>
  </si>
  <si>
    <t>Arthur Aaron</t>
  </si>
  <si>
    <t>Baiden Manuel</t>
  </si>
  <si>
    <t>Bansah Ephraim</t>
  </si>
  <si>
    <t>Dzidefo Jose-Noel</t>
  </si>
  <si>
    <t>Eshun Daniella</t>
  </si>
  <si>
    <t>Essunman Edward</t>
  </si>
  <si>
    <t>Fenteng Awurabena</t>
  </si>
  <si>
    <t>Fiattor Keona</t>
  </si>
  <si>
    <t>Hotsonyame Serena</t>
  </si>
  <si>
    <t>Kokroko Jaeden</t>
  </si>
  <si>
    <t>Krah, Tamara Fafa</t>
  </si>
  <si>
    <t>Kugblenu Tsatsu</t>
  </si>
  <si>
    <t>Kumah Ephraim Selorm</t>
  </si>
  <si>
    <t>Kwedza Sese</t>
  </si>
  <si>
    <t>Marvin Tadeash Adom</t>
  </si>
  <si>
    <t>Mensah-Stephens Michael</t>
  </si>
  <si>
    <t>Meteku Mikel</t>
  </si>
  <si>
    <t>Nwogu Mary-Claire</t>
  </si>
  <si>
    <t>Sosu, Sheena Eyram</t>
  </si>
  <si>
    <t>Tuna Israel Delali</t>
  </si>
  <si>
    <t>Woanyah Elikem</t>
  </si>
  <si>
    <t>TERM: 2 - 2025/2026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</si>
</sst>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9" fontId="14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A1:T34"/>
  <sheetViews>
    <sheetView tabSelected="1" topLeftCell="A8" zoomScale="50" zoomScaleNormal="50" workbookViewId="0">
      <selection activeCell="I27" sqref="I27:M27"/>
    </sheetView>
  </sheetViews>
  <sheetFormatPr defaultRowHeight="14.5" x14ac:dyDescent="0.35"/>
  <cols>
    <col min="1" max="1" width="29.26953125" customWidth="1"/>
    <col min="2" max="2" width="10" customWidth="1"/>
    <col min="3" max="3" width="10.6328125" customWidth="1"/>
    <col min="4" max="4" width="10.26953125" customWidth="1"/>
    <col min="5" max="5" width="9.81640625" customWidth="1"/>
    <col min="6" max="6" width="10.36328125" customWidth="1"/>
    <col min="7" max="7" width="8.7265625" customWidth="1"/>
    <col min="8" max="8" width="9.6328125" customWidth="1"/>
    <col min="9" max="9" width="9.7265625" customWidth="1"/>
    <col min="10" max="10" width="11.08984375" customWidth="1"/>
    <col min="11" max="11" width="10" customWidth="1"/>
    <col min="12" max="12" width="12.54296875" customWidth="1"/>
    <col min="13" max="13" width="27.1796875" customWidth="1"/>
    <col min="14" max="14" width="11.54296875" customWidth="1"/>
    <col min="15" max="15" width="5.7265625" customWidth="1"/>
    <col min="16" max="16" width="5.26953125" customWidth="1"/>
    <col min="17" max="17" width="6.81640625" customWidth="1"/>
    <col min="18" max="18" width="7.1796875" customWidth="1"/>
    <col min="19" max="19" width="16.26953125" customWidth="1"/>
    <col min="20" max="20" width="9.81640625" customWidth="1"/>
  </cols>
  <sheetData>
    <row r="1" spans="1:20" ht="17.5" x14ac:dyDescent="0.35">
      <c r="A1" s="15" t="s">
        <v>10</v>
      </c>
      <c r="B1" s="12"/>
      <c r="C1" s="12"/>
      <c r="D1" s="12"/>
      <c r="E1" s="12" t="s">
        <v>13</v>
      </c>
      <c r="F1" s="12" t="s">
        <v>14</v>
      </c>
      <c r="G1" s="12"/>
      <c r="H1" s="12"/>
      <c r="I1" s="12"/>
      <c r="J1" s="12"/>
      <c r="K1" s="12"/>
      <c r="L1" s="12"/>
      <c r="M1" s="12"/>
      <c r="N1" s="5"/>
      <c r="O1" s="5"/>
      <c r="P1" s="6"/>
      <c r="Q1" s="7"/>
      <c r="R1" s="7"/>
      <c r="S1" s="7"/>
      <c r="T1" s="7"/>
    </row>
    <row r="2" spans="1:20" ht="18.5" x14ac:dyDescent="0.45">
      <c r="A2" s="16"/>
      <c r="B2" s="12" t="s">
        <v>15</v>
      </c>
      <c r="C2" s="12"/>
      <c r="D2" s="12"/>
      <c r="E2" s="12"/>
      <c r="F2" s="12" t="s">
        <v>12</v>
      </c>
      <c r="G2" s="12"/>
      <c r="H2" s="12"/>
      <c r="I2" s="12"/>
      <c r="J2" s="12" t="s">
        <v>16</v>
      </c>
      <c r="K2" s="12"/>
      <c r="L2" s="12" t="s">
        <v>41</v>
      </c>
      <c r="M2" s="12"/>
      <c r="N2" s="5"/>
      <c r="O2" s="5"/>
      <c r="P2" s="2"/>
    </row>
    <row r="3" spans="1:20" ht="18.5" x14ac:dyDescent="0.45">
      <c r="A3" s="12" t="s">
        <v>0</v>
      </c>
      <c r="B3" s="16" t="s">
        <v>1</v>
      </c>
      <c r="C3" s="16" t="s">
        <v>7</v>
      </c>
      <c r="D3" s="16" t="s">
        <v>2</v>
      </c>
      <c r="E3" s="16" t="s">
        <v>11</v>
      </c>
      <c r="F3" s="12" t="s">
        <v>3</v>
      </c>
      <c r="G3" s="17">
        <v>0.5</v>
      </c>
      <c r="H3" s="12" t="s">
        <v>4</v>
      </c>
      <c r="I3" s="18">
        <v>0.5</v>
      </c>
      <c r="J3" s="12" t="s">
        <v>5</v>
      </c>
      <c r="K3" s="18" t="s">
        <v>8</v>
      </c>
      <c r="L3" s="12" t="s">
        <v>6</v>
      </c>
      <c r="M3" s="16" t="s">
        <v>9</v>
      </c>
      <c r="N3" s="5"/>
      <c r="O3" s="5"/>
      <c r="P3" s="2"/>
    </row>
    <row r="4" spans="1:20" ht="18.5" x14ac:dyDescent="0.45">
      <c r="A4" s="14" t="s">
        <v>17</v>
      </c>
      <c r="B4" s="11">
        <v>10</v>
      </c>
      <c r="C4" s="11">
        <v>23</v>
      </c>
      <c r="D4" s="11">
        <v>17</v>
      </c>
      <c r="E4" s="11">
        <v>25</v>
      </c>
      <c r="F4" s="10">
        <f>SUM(B4:E4)</f>
        <v>75</v>
      </c>
      <c r="G4" s="12">
        <f>F4/100*50</f>
        <v>37.5</v>
      </c>
      <c r="H4" s="11">
        <v>54</v>
      </c>
      <c r="I4" s="12">
        <f>H4/100*50</f>
        <v>27</v>
      </c>
      <c r="J4" s="11">
        <f>SUM(G4,I4)</f>
        <v>64.5</v>
      </c>
      <c r="K4" s="10">
        <f>RANK(J4,$J$4:$J$34)</f>
        <v>20</v>
      </c>
      <c r="L4" s="10" t="str">
        <f>IF(J4&gt;=90,"1",IF(J4&gt;=80,"2",IF(J4&gt;=70,"3",IF(J4&gt;=60,"4",IF(J4&gt;=55,"5",IF(J4&gt;=50,"6",IF(J4&gt;=40,"7",IF(J4&gt;=35,"8",IF(J4&gt;=0,"9")))))))))</f>
        <v>4</v>
      </c>
      <c r="M4" s="11" t="str">
        <f>IF(L4="1","Highest",IF(L4="2","Higher",IF(L4="3","High",IF(L4="4","High Average",IF(L4="5","Average",IF(L4="6","Lower Average",IF(L4="7","Low",IF(L4="8","Lower",IF(L4="9","Lowest")))))))))</f>
        <v>High Average</v>
      </c>
      <c r="N4" s="5"/>
      <c r="O4" s="5"/>
      <c r="P4" s="2"/>
    </row>
    <row r="5" spans="1:20" ht="18.5" x14ac:dyDescent="0.45">
      <c r="A5" s="14" t="s">
        <v>18</v>
      </c>
      <c r="B5" s="11">
        <v>18</v>
      </c>
      <c r="C5" s="11">
        <v>25</v>
      </c>
      <c r="D5" s="11">
        <v>23</v>
      </c>
      <c r="E5" s="11">
        <v>25</v>
      </c>
      <c r="F5" s="10">
        <f t="shared" ref="F5:F27" si="0">SUM(B5:E5)</f>
        <v>91</v>
      </c>
      <c r="G5" s="12">
        <f t="shared" ref="G5:G27" si="1">F5/100*50</f>
        <v>45.5</v>
      </c>
      <c r="H5" s="11">
        <v>78</v>
      </c>
      <c r="I5" s="12">
        <f t="shared" ref="I5:I27" si="2">H5/100*50</f>
        <v>39</v>
      </c>
      <c r="J5" s="11">
        <f t="shared" ref="J5:J27" si="3">SUM(G5,I5)</f>
        <v>84.5</v>
      </c>
      <c r="K5" s="10">
        <f t="shared" ref="K5:K27" si="4">RANK(J5,$J$4:$J$34)</f>
        <v>4</v>
      </c>
      <c r="L5" s="10" t="str">
        <f t="shared" ref="L5:L27" si="5">IF(J5&gt;=90,"1",IF(J5&gt;=80,"2",IF(J5&gt;=70,"3",IF(J5&gt;=60,"4",IF(J5&gt;=55,"5",IF(J5&gt;=50,"6",IF(J5&gt;=40,"7",IF(J5&gt;=35,"8",IF(J5&gt;=0,"9")))))))))</f>
        <v>2</v>
      </c>
      <c r="M5" s="11" t="str">
        <f t="shared" ref="M5:M27" si="6">IF(L5="1","Highest",IF(L5="2","Higher",IF(L5="3","High",IF(L5="4","High Average",IF(L5="5","Average",IF(L5="6","Lower Average",IF(L5="7","Low",IF(L5="8","Lower",IF(L5="9","Lowest")))))))))</f>
        <v>Higher</v>
      </c>
      <c r="N5" s="5"/>
      <c r="O5" s="5"/>
      <c r="P5" s="2"/>
    </row>
    <row r="6" spans="1:20" ht="18.5" x14ac:dyDescent="0.45">
      <c r="A6" s="14" t="s">
        <v>19</v>
      </c>
      <c r="B6" s="11">
        <v>14</v>
      </c>
      <c r="C6" s="11">
        <v>19</v>
      </c>
      <c r="D6" s="11">
        <v>24</v>
      </c>
      <c r="E6" s="11">
        <v>0</v>
      </c>
      <c r="F6" s="10">
        <f t="shared" si="0"/>
        <v>57</v>
      </c>
      <c r="G6" s="12">
        <f t="shared" si="1"/>
        <v>28.499999999999996</v>
      </c>
      <c r="H6" s="11">
        <v>78</v>
      </c>
      <c r="I6" s="12">
        <f t="shared" si="2"/>
        <v>39</v>
      </c>
      <c r="J6" s="11">
        <f t="shared" si="3"/>
        <v>67.5</v>
      </c>
      <c r="K6" s="10">
        <f t="shared" si="4"/>
        <v>18</v>
      </c>
      <c r="L6" s="10" t="str">
        <f t="shared" si="5"/>
        <v>4</v>
      </c>
      <c r="M6" s="11" t="str">
        <f t="shared" si="6"/>
        <v>High Average</v>
      </c>
      <c r="N6" s="5"/>
      <c r="O6" s="5"/>
      <c r="P6" s="2"/>
    </row>
    <row r="7" spans="1:20" ht="18.5" x14ac:dyDescent="0.45">
      <c r="A7" s="14" t="s">
        <v>20</v>
      </c>
      <c r="B7" s="11">
        <v>10</v>
      </c>
      <c r="C7" s="11">
        <v>25</v>
      </c>
      <c r="D7" s="11">
        <v>16</v>
      </c>
      <c r="E7" s="11">
        <v>25</v>
      </c>
      <c r="F7" s="10">
        <f t="shared" si="0"/>
        <v>76</v>
      </c>
      <c r="G7" s="12">
        <f t="shared" si="1"/>
        <v>38</v>
      </c>
      <c r="H7" s="11">
        <v>60</v>
      </c>
      <c r="I7" s="12">
        <f t="shared" si="2"/>
        <v>30</v>
      </c>
      <c r="J7" s="11">
        <f t="shared" si="3"/>
        <v>68</v>
      </c>
      <c r="K7" s="10">
        <f t="shared" si="4"/>
        <v>17</v>
      </c>
      <c r="L7" s="10" t="str">
        <f t="shared" si="5"/>
        <v>4</v>
      </c>
      <c r="M7" s="11" t="str">
        <f t="shared" si="6"/>
        <v>High Average</v>
      </c>
      <c r="N7" s="1"/>
      <c r="O7" s="2"/>
      <c r="T7" s="1"/>
    </row>
    <row r="8" spans="1:20" ht="18" x14ac:dyDescent="0.4">
      <c r="A8" s="14" t="s">
        <v>21</v>
      </c>
      <c r="B8" s="11">
        <v>21</v>
      </c>
      <c r="C8" s="11">
        <v>25</v>
      </c>
      <c r="D8" s="11">
        <v>25</v>
      </c>
      <c r="E8" s="11">
        <v>25</v>
      </c>
      <c r="F8" s="10">
        <f t="shared" si="0"/>
        <v>96</v>
      </c>
      <c r="G8" s="12">
        <f t="shared" si="1"/>
        <v>48</v>
      </c>
      <c r="H8" s="11">
        <v>80</v>
      </c>
      <c r="I8" s="12">
        <f t="shared" si="2"/>
        <v>40</v>
      </c>
      <c r="J8" s="11">
        <f t="shared" si="3"/>
        <v>88</v>
      </c>
      <c r="K8" s="10">
        <f t="shared" si="4"/>
        <v>2</v>
      </c>
      <c r="L8" s="10" t="str">
        <f t="shared" si="5"/>
        <v>2</v>
      </c>
      <c r="M8" s="11" t="str">
        <f t="shared" si="6"/>
        <v>Higher</v>
      </c>
      <c r="O8" s="3"/>
    </row>
    <row r="9" spans="1:20" ht="18" x14ac:dyDescent="0.4">
      <c r="A9" s="14" t="s">
        <v>22</v>
      </c>
      <c r="B9" s="11">
        <v>21</v>
      </c>
      <c r="C9" s="11">
        <v>23</v>
      </c>
      <c r="D9" s="11">
        <v>18</v>
      </c>
      <c r="E9" s="11">
        <v>25</v>
      </c>
      <c r="F9" s="10">
        <f t="shared" si="0"/>
        <v>87</v>
      </c>
      <c r="G9" s="12">
        <f t="shared" si="1"/>
        <v>43.5</v>
      </c>
      <c r="H9" s="11">
        <v>86</v>
      </c>
      <c r="I9" s="12">
        <f t="shared" si="2"/>
        <v>43</v>
      </c>
      <c r="J9" s="11">
        <f t="shared" si="3"/>
        <v>86.5</v>
      </c>
      <c r="K9" s="10">
        <f t="shared" si="4"/>
        <v>3</v>
      </c>
      <c r="L9" s="10" t="str">
        <f t="shared" si="5"/>
        <v>2</v>
      </c>
      <c r="M9" s="11" t="str">
        <f t="shared" si="6"/>
        <v>Higher</v>
      </c>
      <c r="N9" s="4"/>
    </row>
    <row r="10" spans="1:20" ht="18" x14ac:dyDescent="0.4">
      <c r="A10" s="14" t="s">
        <v>23</v>
      </c>
      <c r="B10" s="11">
        <v>19</v>
      </c>
      <c r="C10" s="11">
        <v>23</v>
      </c>
      <c r="D10" s="11">
        <v>16</v>
      </c>
      <c r="E10" s="11">
        <v>0</v>
      </c>
      <c r="F10" s="10">
        <f t="shared" si="0"/>
        <v>58</v>
      </c>
      <c r="G10" s="12">
        <f t="shared" si="1"/>
        <v>28.999999999999996</v>
      </c>
      <c r="H10" s="11">
        <v>74</v>
      </c>
      <c r="I10" s="12">
        <f>H10/100*50</f>
        <v>37</v>
      </c>
      <c r="J10" s="11">
        <f t="shared" si="3"/>
        <v>66</v>
      </c>
      <c r="K10" s="10">
        <f t="shared" si="4"/>
        <v>19</v>
      </c>
      <c r="L10" s="10" t="str">
        <f t="shared" si="5"/>
        <v>4</v>
      </c>
      <c r="M10" s="11" t="str">
        <f t="shared" si="6"/>
        <v>High Average</v>
      </c>
      <c r="N10" s="4"/>
    </row>
    <row r="11" spans="1:20" ht="18" x14ac:dyDescent="0.4">
      <c r="A11" s="14" t="s">
        <v>24</v>
      </c>
      <c r="B11" s="11">
        <v>19</v>
      </c>
      <c r="C11" s="11">
        <v>19</v>
      </c>
      <c r="D11" s="11">
        <v>10</v>
      </c>
      <c r="E11" s="11">
        <v>25</v>
      </c>
      <c r="F11" s="10">
        <f t="shared" si="0"/>
        <v>73</v>
      </c>
      <c r="G11" s="12">
        <f t="shared" si="1"/>
        <v>36.5</v>
      </c>
      <c r="H11" s="11">
        <v>64</v>
      </c>
      <c r="I11" s="12">
        <f t="shared" si="2"/>
        <v>32</v>
      </c>
      <c r="J11" s="11">
        <f t="shared" si="3"/>
        <v>68.5</v>
      </c>
      <c r="K11" s="10">
        <f t="shared" si="4"/>
        <v>16</v>
      </c>
      <c r="L11" s="10" t="str">
        <f t="shared" si="5"/>
        <v>4</v>
      </c>
      <c r="M11" s="11" t="str">
        <f t="shared" si="6"/>
        <v>High Average</v>
      </c>
      <c r="N11" s="4"/>
    </row>
    <row r="12" spans="1:20" ht="18" x14ac:dyDescent="0.4">
      <c r="A12" s="14" t="s">
        <v>25</v>
      </c>
      <c r="B12" s="11">
        <v>22</v>
      </c>
      <c r="C12" s="11">
        <v>23</v>
      </c>
      <c r="D12" s="11">
        <v>16</v>
      </c>
      <c r="E12" s="11">
        <v>15</v>
      </c>
      <c r="F12" s="10">
        <f t="shared" si="0"/>
        <v>76</v>
      </c>
      <c r="G12" s="12">
        <f t="shared" si="1"/>
        <v>38</v>
      </c>
      <c r="H12" s="11">
        <v>72</v>
      </c>
      <c r="I12" s="12">
        <f t="shared" si="2"/>
        <v>36</v>
      </c>
      <c r="J12" s="11">
        <f t="shared" si="3"/>
        <v>74</v>
      </c>
      <c r="K12" s="10">
        <f t="shared" si="4"/>
        <v>13</v>
      </c>
      <c r="L12" s="10" t="str">
        <f t="shared" si="5"/>
        <v>3</v>
      </c>
      <c r="M12" s="11" t="str">
        <f t="shared" si="6"/>
        <v>High</v>
      </c>
      <c r="N12" s="4"/>
    </row>
    <row r="13" spans="1:20" ht="18" x14ac:dyDescent="0.4">
      <c r="A13" s="14" t="s">
        <v>26</v>
      </c>
      <c r="B13" s="11">
        <v>21</v>
      </c>
      <c r="C13" s="11">
        <v>23</v>
      </c>
      <c r="D13" s="11">
        <v>20</v>
      </c>
      <c r="E13" s="11">
        <v>15</v>
      </c>
      <c r="F13" s="10">
        <f t="shared" si="0"/>
        <v>79</v>
      </c>
      <c r="G13" s="12">
        <f t="shared" si="1"/>
        <v>39.5</v>
      </c>
      <c r="H13" s="11">
        <v>90</v>
      </c>
      <c r="I13" s="12">
        <f t="shared" si="2"/>
        <v>45</v>
      </c>
      <c r="J13" s="11">
        <f t="shared" si="3"/>
        <v>84.5</v>
      </c>
      <c r="K13" s="10">
        <f t="shared" si="4"/>
        <v>4</v>
      </c>
      <c r="L13" s="10" t="str">
        <f t="shared" si="5"/>
        <v>2</v>
      </c>
      <c r="M13" s="11" t="str">
        <f t="shared" si="6"/>
        <v>Higher</v>
      </c>
      <c r="N13" s="4"/>
    </row>
    <row r="14" spans="1:20" ht="18" x14ac:dyDescent="0.4">
      <c r="A14" s="14" t="s">
        <v>27</v>
      </c>
      <c r="B14" s="11">
        <v>18</v>
      </c>
      <c r="C14" s="11">
        <v>25</v>
      </c>
      <c r="D14" s="11">
        <v>24</v>
      </c>
      <c r="E14" s="11">
        <v>15</v>
      </c>
      <c r="F14" s="10">
        <f t="shared" si="0"/>
        <v>82</v>
      </c>
      <c r="G14" s="12">
        <f t="shared" si="1"/>
        <v>41</v>
      </c>
      <c r="H14" s="11">
        <v>76</v>
      </c>
      <c r="I14" s="12">
        <f t="shared" si="2"/>
        <v>38</v>
      </c>
      <c r="J14" s="11">
        <f t="shared" si="3"/>
        <v>79</v>
      </c>
      <c r="K14" s="10">
        <f t="shared" si="4"/>
        <v>9</v>
      </c>
      <c r="L14" s="10" t="str">
        <f t="shared" si="5"/>
        <v>3</v>
      </c>
      <c r="M14" s="11" t="str">
        <f t="shared" si="6"/>
        <v>High</v>
      </c>
      <c r="N14" s="4"/>
    </row>
    <row r="15" spans="1:20" ht="18" x14ac:dyDescent="0.4">
      <c r="A15" s="14" t="s">
        <v>28</v>
      </c>
      <c r="B15" s="11">
        <v>16</v>
      </c>
      <c r="C15" s="11">
        <v>23</v>
      </c>
      <c r="D15" s="11">
        <v>20</v>
      </c>
      <c r="E15" s="11">
        <v>25</v>
      </c>
      <c r="F15" s="10">
        <f t="shared" si="0"/>
        <v>84</v>
      </c>
      <c r="G15" s="12">
        <f t="shared" si="1"/>
        <v>42</v>
      </c>
      <c r="H15" s="11">
        <v>71</v>
      </c>
      <c r="I15" s="12">
        <f t="shared" si="2"/>
        <v>35.5</v>
      </c>
      <c r="J15" s="11">
        <f t="shared" si="3"/>
        <v>77.5</v>
      </c>
      <c r="K15" s="10">
        <f t="shared" si="4"/>
        <v>10</v>
      </c>
      <c r="L15" s="10" t="str">
        <f t="shared" si="5"/>
        <v>3</v>
      </c>
      <c r="M15" s="11" t="str">
        <f t="shared" si="6"/>
        <v>High</v>
      </c>
      <c r="N15" s="4"/>
    </row>
    <row r="16" spans="1:20" ht="18" x14ac:dyDescent="0.4">
      <c r="A16" s="14" t="s">
        <v>29</v>
      </c>
      <c r="B16" s="11">
        <v>18</v>
      </c>
      <c r="C16" s="11">
        <v>25</v>
      </c>
      <c r="D16" s="11">
        <v>19</v>
      </c>
      <c r="E16" s="11">
        <v>25</v>
      </c>
      <c r="F16" s="10">
        <f t="shared" si="0"/>
        <v>87</v>
      </c>
      <c r="G16" s="12">
        <f t="shared" si="1"/>
        <v>43.5</v>
      </c>
      <c r="H16" s="11">
        <v>62</v>
      </c>
      <c r="I16" s="12">
        <f t="shared" si="2"/>
        <v>31</v>
      </c>
      <c r="J16" s="11">
        <f t="shared" si="3"/>
        <v>74.5</v>
      </c>
      <c r="K16" s="10">
        <f t="shared" si="4"/>
        <v>12</v>
      </c>
      <c r="L16" s="10" t="str">
        <f t="shared" si="5"/>
        <v>3</v>
      </c>
      <c r="M16" s="11" t="str">
        <f t="shared" si="6"/>
        <v>High</v>
      </c>
      <c r="N16" s="4"/>
    </row>
    <row r="17" spans="1:14" ht="18" x14ac:dyDescent="0.4">
      <c r="A17" s="9" t="s">
        <v>30</v>
      </c>
      <c r="B17" s="11">
        <v>19</v>
      </c>
      <c r="C17" s="11">
        <v>25</v>
      </c>
      <c r="D17" s="11">
        <v>10</v>
      </c>
      <c r="E17" s="11">
        <v>25</v>
      </c>
      <c r="F17" s="10">
        <f t="shared" si="0"/>
        <v>79</v>
      </c>
      <c r="G17" s="12">
        <f t="shared" si="1"/>
        <v>39.5</v>
      </c>
      <c r="H17" s="11">
        <v>80</v>
      </c>
      <c r="I17" s="12">
        <f t="shared" si="2"/>
        <v>40</v>
      </c>
      <c r="J17" s="11">
        <f t="shared" si="3"/>
        <v>79.5</v>
      </c>
      <c r="K17" s="10">
        <f t="shared" si="4"/>
        <v>8</v>
      </c>
      <c r="L17" s="10" t="str">
        <f t="shared" si="5"/>
        <v>3</v>
      </c>
      <c r="M17" s="11" t="str">
        <f t="shared" si="6"/>
        <v>High</v>
      </c>
      <c r="N17" s="4"/>
    </row>
    <row r="18" spans="1:14" ht="18" x14ac:dyDescent="0.4">
      <c r="A18" s="14" t="s">
        <v>31</v>
      </c>
      <c r="B18" s="11">
        <v>19</v>
      </c>
      <c r="C18" s="11">
        <v>19</v>
      </c>
      <c r="D18" s="11">
        <v>18</v>
      </c>
      <c r="E18" s="11">
        <v>15</v>
      </c>
      <c r="F18" s="10">
        <f t="shared" si="0"/>
        <v>71</v>
      </c>
      <c r="G18" s="12">
        <f t="shared" si="1"/>
        <v>35.5</v>
      </c>
      <c r="H18" s="11">
        <v>70</v>
      </c>
      <c r="I18" s="12">
        <f t="shared" si="2"/>
        <v>35</v>
      </c>
      <c r="J18" s="11">
        <f t="shared" si="3"/>
        <v>70.5</v>
      </c>
      <c r="K18" s="10">
        <f t="shared" si="4"/>
        <v>15</v>
      </c>
      <c r="L18" s="10" t="str">
        <f t="shared" si="5"/>
        <v>3</v>
      </c>
      <c r="M18" s="11" t="str">
        <f t="shared" si="6"/>
        <v>High</v>
      </c>
      <c r="N18" s="4"/>
    </row>
    <row r="19" spans="1:14" ht="18" x14ac:dyDescent="0.4">
      <c r="A19" s="14" t="s">
        <v>32</v>
      </c>
      <c r="B19" s="11">
        <v>13</v>
      </c>
      <c r="C19" s="11">
        <v>19</v>
      </c>
      <c r="D19" s="11">
        <v>23</v>
      </c>
      <c r="E19" s="11">
        <v>0</v>
      </c>
      <c r="F19" s="10">
        <f t="shared" si="0"/>
        <v>55</v>
      </c>
      <c r="G19" s="12">
        <f t="shared" si="1"/>
        <v>27.500000000000004</v>
      </c>
      <c r="H19" s="11">
        <v>62</v>
      </c>
      <c r="I19" s="12">
        <f t="shared" si="2"/>
        <v>31</v>
      </c>
      <c r="J19" s="11">
        <f t="shared" si="3"/>
        <v>58.5</v>
      </c>
      <c r="K19" s="10">
        <f t="shared" si="4"/>
        <v>22</v>
      </c>
      <c r="L19" s="10" t="str">
        <f t="shared" si="5"/>
        <v>5</v>
      </c>
      <c r="M19" s="11" t="str">
        <f t="shared" si="6"/>
        <v>Average</v>
      </c>
      <c r="N19" s="4"/>
    </row>
    <row r="20" spans="1:14" ht="18" x14ac:dyDescent="0.4">
      <c r="A20" s="14" t="s">
        <v>33</v>
      </c>
      <c r="B20" s="11">
        <v>6</v>
      </c>
      <c r="C20" s="11">
        <v>25</v>
      </c>
      <c r="D20" s="11">
        <v>15</v>
      </c>
      <c r="E20" s="10">
        <v>0</v>
      </c>
      <c r="F20" s="10">
        <f t="shared" si="0"/>
        <v>46</v>
      </c>
      <c r="G20" s="12">
        <f t="shared" si="1"/>
        <v>23</v>
      </c>
      <c r="H20" s="11">
        <v>68</v>
      </c>
      <c r="I20" s="12">
        <f t="shared" si="2"/>
        <v>34</v>
      </c>
      <c r="J20" s="11">
        <f t="shared" si="3"/>
        <v>57</v>
      </c>
      <c r="K20" s="10">
        <f t="shared" si="4"/>
        <v>23</v>
      </c>
      <c r="L20" s="10" t="str">
        <f t="shared" si="5"/>
        <v>5</v>
      </c>
      <c r="M20" s="11" t="str">
        <f t="shared" si="6"/>
        <v>Average</v>
      </c>
      <c r="N20" s="4"/>
    </row>
    <row r="21" spans="1:14" ht="18" x14ac:dyDescent="0.4">
      <c r="A21" s="14" t="s">
        <v>34</v>
      </c>
      <c r="B21" s="11">
        <v>12</v>
      </c>
      <c r="C21" s="11">
        <v>19</v>
      </c>
      <c r="D21" s="11">
        <v>17</v>
      </c>
      <c r="E21" s="10">
        <v>25</v>
      </c>
      <c r="F21" s="10">
        <f t="shared" si="0"/>
        <v>73</v>
      </c>
      <c r="G21" s="12">
        <f t="shared" si="1"/>
        <v>36.5</v>
      </c>
      <c r="H21" s="11">
        <v>72</v>
      </c>
      <c r="I21" s="12">
        <f t="shared" si="2"/>
        <v>36</v>
      </c>
      <c r="J21" s="11">
        <f t="shared" si="3"/>
        <v>72.5</v>
      </c>
      <c r="K21" s="10">
        <f t="shared" si="4"/>
        <v>14</v>
      </c>
      <c r="L21" s="10" t="str">
        <f t="shared" si="5"/>
        <v>3</v>
      </c>
      <c r="M21" s="11" t="str">
        <f t="shared" si="6"/>
        <v>High</v>
      </c>
      <c r="N21" s="4"/>
    </row>
    <row r="22" spans="1:14" ht="18" x14ac:dyDescent="0.4">
      <c r="A22" s="9" t="s">
        <v>35</v>
      </c>
      <c r="B22" s="11">
        <v>6</v>
      </c>
      <c r="C22" s="11">
        <v>25</v>
      </c>
      <c r="D22" s="11">
        <v>16</v>
      </c>
      <c r="E22" s="10">
        <v>25</v>
      </c>
      <c r="F22" s="10">
        <f t="shared" si="0"/>
        <v>72</v>
      </c>
      <c r="G22" s="12">
        <f t="shared" si="1"/>
        <v>36</v>
      </c>
      <c r="H22" s="11">
        <v>54</v>
      </c>
      <c r="I22" s="12">
        <f t="shared" si="2"/>
        <v>27</v>
      </c>
      <c r="J22" s="11">
        <f t="shared" si="3"/>
        <v>63</v>
      </c>
      <c r="K22" s="10">
        <f t="shared" si="4"/>
        <v>21</v>
      </c>
      <c r="L22" s="10" t="str">
        <f t="shared" si="5"/>
        <v>4</v>
      </c>
      <c r="M22" s="11" t="str">
        <f t="shared" si="6"/>
        <v>High Average</v>
      </c>
      <c r="N22" s="4"/>
    </row>
    <row r="23" spans="1:14" ht="18" x14ac:dyDescent="0.4">
      <c r="A23" s="14" t="s">
        <v>36</v>
      </c>
      <c r="B23" s="11">
        <v>4</v>
      </c>
      <c r="C23" s="11">
        <v>23</v>
      </c>
      <c r="D23" s="11">
        <v>14</v>
      </c>
      <c r="E23" s="10">
        <v>25</v>
      </c>
      <c r="F23" s="10">
        <f t="shared" si="0"/>
        <v>66</v>
      </c>
      <c r="G23" s="12">
        <f t="shared" si="1"/>
        <v>33</v>
      </c>
      <c r="H23" s="11">
        <v>42</v>
      </c>
      <c r="I23" s="12">
        <f t="shared" si="2"/>
        <v>21</v>
      </c>
      <c r="J23" s="11">
        <f t="shared" si="3"/>
        <v>54</v>
      </c>
      <c r="K23" s="10">
        <f t="shared" si="4"/>
        <v>24</v>
      </c>
      <c r="L23" s="10" t="str">
        <f t="shared" si="5"/>
        <v>6</v>
      </c>
      <c r="M23" s="11" t="str">
        <f t="shared" si="6"/>
        <v>Lower Average</v>
      </c>
      <c r="N23" s="4"/>
    </row>
    <row r="24" spans="1:14" ht="18" x14ac:dyDescent="0.4">
      <c r="A24" s="14" t="s">
        <v>37</v>
      </c>
      <c r="B24" s="11">
        <v>23</v>
      </c>
      <c r="C24" s="11">
        <v>25</v>
      </c>
      <c r="D24" s="11">
        <v>24</v>
      </c>
      <c r="E24" s="10">
        <v>25</v>
      </c>
      <c r="F24" s="10">
        <f t="shared" si="0"/>
        <v>97</v>
      </c>
      <c r="G24" s="12">
        <f t="shared" si="1"/>
        <v>48.5</v>
      </c>
      <c r="H24" s="11">
        <v>91</v>
      </c>
      <c r="I24" s="12">
        <f t="shared" si="2"/>
        <v>45.5</v>
      </c>
      <c r="J24" s="11">
        <f t="shared" si="3"/>
        <v>94</v>
      </c>
      <c r="K24" s="10">
        <f t="shared" si="4"/>
        <v>1</v>
      </c>
      <c r="L24" s="10" t="str">
        <f t="shared" si="5"/>
        <v>1</v>
      </c>
      <c r="M24" s="11" t="str">
        <f t="shared" si="6"/>
        <v>Highest</v>
      </c>
    </row>
    <row r="25" spans="1:14" ht="18" x14ac:dyDescent="0.4">
      <c r="A25" s="14" t="s">
        <v>38</v>
      </c>
      <c r="B25" s="11">
        <v>19</v>
      </c>
      <c r="C25" s="11">
        <v>23</v>
      </c>
      <c r="D25" s="11">
        <v>20</v>
      </c>
      <c r="E25" s="10">
        <v>15</v>
      </c>
      <c r="F25" s="10">
        <f t="shared" si="0"/>
        <v>77</v>
      </c>
      <c r="G25" s="12">
        <f t="shared" si="1"/>
        <v>38.5</v>
      </c>
      <c r="H25" s="11">
        <v>88</v>
      </c>
      <c r="I25" s="12">
        <f t="shared" si="2"/>
        <v>44</v>
      </c>
      <c r="J25" s="11">
        <f t="shared" si="3"/>
        <v>82.5</v>
      </c>
      <c r="K25" s="10">
        <f t="shared" si="4"/>
        <v>6</v>
      </c>
      <c r="L25" s="10" t="str">
        <f t="shared" si="5"/>
        <v>2</v>
      </c>
      <c r="M25" s="11" t="str">
        <f t="shared" si="6"/>
        <v>Higher</v>
      </c>
    </row>
    <row r="26" spans="1:14" ht="18" x14ac:dyDescent="0.4">
      <c r="A26" s="14" t="s">
        <v>39</v>
      </c>
      <c r="B26" s="11">
        <v>21</v>
      </c>
      <c r="C26" s="11">
        <v>25</v>
      </c>
      <c r="D26" s="11">
        <v>20</v>
      </c>
      <c r="E26" s="10">
        <v>20</v>
      </c>
      <c r="F26" s="10">
        <f t="shared" si="0"/>
        <v>86</v>
      </c>
      <c r="G26" s="12">
        <f t="shared" si="1"/>
        <v>43</v>
      </c>
      <c r="H26" s="11">
        <v>64</v>
      </c>
      <c r="I26" s="12">
        <f t="shared" si="2"/>
        <v>32</v>
      </c>
      <c r="J26" s="11">
        <f t="shared" si="3"/>
        <v>75</v>
      </c>
      <c r="K26" s="10">
        <f t="shared" si="4"/>
        <v>11</v>
      </c>
      <c r="L26" s="10" t="str">
        <f t="shared" si="5"/>
        <v>3</v>
      </c>
      <c r="M26" s="11" t="str">
        <f t="shared" si="6"/>
        <v>High</v>
      </c>
    </row>
    <row r="27" spans="1:14" ht="18" x14ac:dyDescent="0.4">
      <c r="A27" s="14" t="s">
        <v>40</v>
      </c>
      <c r="B27" s="11">
        <v>17</v>
      </c>
      <c r="C27" s="11">
        <v>23</v>
      </c>
      <c r="D27" s="11">
        <v>24</v>
      </c>
      <c r="E27" s="10">
        <v>25</v>
      </c>
      <c r="F27" s="10">
        <f t="shared" si="0"/>
        <v>89</v>
      </c>
      <c r="G27" s="12">
        <f t="shared" si="1"/>
        <v>44.5</v>
      </c>
      <c r="H27" s="11">
        <v>74</v>
      </c>
      <c r="I27" s="12">
        <f t="shared" si="2"/>
        <v>37</v>
      </c>
      <c r="J27" s="11">
        <f t="shared" si="3"/>
        <v>81.5</v>
      </c>
      <c r="K27" s="10">
        <f t="shared" si="4"/>
        <v>7</v>
      </c>
      <c r="L27" s="10" t="str">
        <f t="shared" si="5"/>
        <v>2</v>
      </c>
      <c r="M27" s="11" t="str">
        <f t="shared" si="6"/>
        <v>Higher</v>
      </c>
    </row>
    <row r="28" spans="1:14" ht="18" x14ac:dyDescent="0.4">
      <c r="A28" s="8"/>
      <c r="B28" s="11"/>
      <c r="C28" s="11"/>
      <c r="D28" s="11"/>
      <c r="E28" s="10"/>
      <c r="F28" s="10"/>
      <c r="G28" s="12"/>
      <c r="H28" s="11"/>
      <c r="I28" s="12"/>
      <c r="J28" s="11"/>
      <c r="K28" s="10"/>
      <c r="L28" s="10"/>
      <c r="M28" s="11"/>
    </row>
    <row r="29" spans="1:14" ht="18" x14ac:dyDescent="0.4">
      <c r="A29" s="8"/>
      <c r="B29" s="11"/>
      <c r="C29" s="11"/>
      <c r="D29" s="11"/>
      <c r="E29" s="11"/>
      <c r="F29" s="10"/>
      <c r="G29" s="12"/>
      <c r="H29" s="11"/>
      <c r="I29" s="12"/>
      <c r="J29" s="11"/>
      <c r="K29" s="10"/>
      <c r="L29" s="10"/>
      <c r="M29" s="11"/>
    </row>
    <row r="30" spans="1:14" ht="18" x14ac:dyDescent="0.4">
      <c r="A30" s="8"/>
      <c r="B30" s="11"/>
      <c r="C30" s="11"/>
      <c r="D30" s="11"/>
      <c r="E30" s="11"/>
      <c r="F30" s="10"/>
      <c r="G30" s="12"/>
      <c r="H30" s="11"/>
      <c r="I30" s="12"/>
      <c r="J30" s="11"/>
      <c r="K30" s="10"/>
      <c r="L30" s="10"/>
      <c r="M30" s="11"/>
    </row>
    <row r="31" spans="1:14" ht="18" x14ac:dyDescent="0.4">
      <c r="A31" s="8"/>
      <c r="B31" s="11"/>
      <c r="C31" s="11"/>
      <c r="D31" s="11"/>
      <c r="E31" s="11"/>
      <c r="F31" s="10"/>
      <c r="G31" s="12"/>
      <c r="H31" s="11"/>
      <c r="I31" s="12"/>
      <c r="J31" s="11"/>
      <c r="K31" s="10"/>
      <c r="L31" s="10"/>
      <c r="M31" s="11"/>
    </row>
    <row r="32" spans="1:14" ht="18" x14ac:dyDescent="0.4">
      <c r="A32" s="8"/>
      <c r="B32" s="11"/>
      <c r="C32" s="11"/>
      <c r="D32" s="11"/>
      <c r="E32" s="11"/>
      <c r="F32" s="10"/>
      <c r="G32" s="12"/>
      <c r="H32" s="11"/>
      <c r="I32" s="12"/>
      <c r="J32" s="11"/>
      <c r="K32" s="10"/>
      <c r="L32" s="10"/>
      <c r="M32" s="11"/>
    </row>
    <row r="33" spans="1:13" ht="18.5" x14ac:dyDescent="0.45">
      <c r="A33" s="8"/>
      <c r="B33" s="11"/>
      <c r="C33" s="13"/>
      <c r="D33" s="13"/>
      <c r="E33" s="13"/>
      <c r="F33" s="10"/>
      <c r="G33" s="12"/>
      <c r="H33" s="13"/>
      <c r="I33" s="12"/>
      <c r="J33" s="11"/>
      <c r="K33" s="10"/>
      <c r="L33" s="10"/>
      <c r="M33" s="11"/>
    </row>
    <row r="34" spans="1:13" ht="18.5" x14ac:dyDescent="0.45">
      <c r="A34" s="9"/>
      <c r="B34" s="13"/>
      <c r="C34" s="13"/>
      <c r="D34" s="13"/>
      <c r="E34" s="13"/>
      <c r="F34" s="10"/>
      <c r="G34" s="12"/>
      <c r="H34" s="13"/>
      <c r="I34" s="12"/>
      <c r="J34" s="11" t="s">
        <v>10</v>
      </c>
      <c r="K34" s="10"/>
      <c r="L34" s="10"/>
      <c r="M34" s="11"/>
    </row>
  </sheetData>
  <sortState xmlns:xlrd2="http://schemas.microsoft.com/office/spreadsheetml/2017/richdata2" ref="A4:A33">
    <sortCondition ref="A4:A33"/>
  </sortState>
  <printOptions gridLines="1"/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Jnr Job</dc:creator>
  <cp:lastModifiedBy>Junior Job</cp:lastModifiedBy>
  <cp:lastPrinted>2023-12-20T15:14:32Z</cp:lastPrinted>
  <dcterms:created xsi:type="dcterms:W3CDTF">2021-05-01T18:04:20Z</dcterms:created>
  <dcterms:modified xsi:type="dcterms:W3CDTF">2026-04-16T13:20:40Z</dcterms:modified>
</cp:coreProperties>
</file>