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esson Documents\Year 6 - 25-26\Markbook\Term 2\Mid-Term\"/>
    </mc:Choice>
  </mc:AlternateContent>
  <xr:revisionPtr revIDLastSave="0" documentId="13_ncr:1_{E9088A23-AEFF-4738-9B83-1E340FD5BE34}" xr6:coauthVersionLast="47" xr6:coauthVersionMax="47" xr10:uidLastSave="{00000000-0000-0000-0000-000000000000}"/>
  <bookViews>
    <workbookView xWindow="10780" yWindow="720" windowWidth="6660" windowHeight="9220" xr2:uid="{00000000-000D-0000-FFFF-FFFF00000000}"/>
  </bookViews>
  <sheets>
    <sheet name="SCIENCE" sheetId="2" r:id="rId1"/>
  </sheets>
  <definedNames>
    <definedName name="_xlnm.Print_Area" localSheetId="0">SCIENCE!$A$1:$M$27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D4" i="2"/>
  <c r="E4" i="2" s="1"/>
  <c r="C4" i="2"/>
</calcChain>
</file>

<file path=xl/sharedStrings.xml><?xml version="1.0" encoding="utf-8"?>
<sst xmlns="http://schemas.openxmlformats.org/spreadsheetml/2006/main" count="36" uniqueCount="36">
  <si>
    <t>SPECIAL MID-TERM TEST</t>
  </si>
  <si>
    <t>NAME</t>
  </si>
  <si>
    <t>SMTE</t>
  </si>
  <si>
    <t>POS</t>
  </si>
  <si>
    <t>GRADE</t>
  </si>
  <si>
    <t>INTERPRETATION</t>
  </si>
  <si>
    <t>TEACHER: MR. ANIM</t>
  </si>
  <si>
    <t xml:space="preserve"> </t>
  </si>
  <si>
    <t xml:space="preserve">               SUBJECT: SCIENCE  </t>
  </si>
  <si>
    <t>BASIC 3</t>
  </si>
  <si>
    <t>Adzasu Princess</t>
  </si>
  <si>
    <t>Ampofo Agyei Yaa</t>
  </si>
  <si>
    <t>Anku Perpertual</t>
  </si>
  <si>
    <t>Arthur Aaron</t>
  </si>
  <si>
    <t>Baiden Manuel</t>
  </si>
  <si>
    <t>Bansah Ephraim</t>
  </si>
  <si>
    <t>Dzidefo Jose-Noel</t>
  </si>
  <si>
    <t>Eshun Daniella</t>
  </si>
  <si>
    <t>Essunman Edward</t>
  </si>
  <si>
    <t>Fenteng Awurabena</t>
  </si>
  <si>
    <t>Fiattor Keona</t>
  </si>
  <si>
    <t>Fornyikpor Shepherd</t>
  </si>
  <si>
    <t>Hotsonyame Serena</t>
  </si>
  <si>
    <t>Kokroko Jaeden</t>
  </si>
  <si>
    <t>Krah, Tamara Fafa</t>
  </si>
  <si>
    <t>Kugblenu Tsatsu</t>
  </si>
  <si>
    <t>Kumah Ephraim Selorm</t>
  </si>
  <si>
    <t>Kwedza Sese</t>
  </si>
  <si>
    <t>Marvin Tadeash Adom</t>
  </si>
  <si>
    <t>Mensah-Stephens Michael</t>
  </si>
  <si>
    <t>Meteku Mikel</t>
  </si>
  <si>
    <t>Nwogu Mary-Claire</t>
  </si>
  <si>
    <t>Sosu, Sheena Eyram</t>
  </si>
  <si>
    <t>Tuna Israel Delali</t>
  </si>
  <si>
    <t>Woanyah Elikem</t>
  </si>
  <si>
    <t>TERM: 2 - 2025/2026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</si>
</sst>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  <pageSetUpPr fitToPage="1"/>
  </sheetPr>
  <dimension ref="A1:Q35"/>
  <sheetViews>
    <sheetView tabSelected="1" topLeftCell="A10" zoomScale="60" zoomScaleNormal="60" workbookViewId="0">
      <selection activeCell="B28" sqref="B28:E28"/>
    </sheetView>
  </sheetViews>
  <sheetFormatPr defaultRowHeight="14.5" x14ac:dyDescent="0.35"/>
  <cols>
    <col min="1" max="1" width="25.453125" customWidth="1"/>
    <col min="2" max="2" width="8.81640625" customWidth="1"/>
    <col min="3" max="3" width="10.36328125" customWidth="1"/>
    <col min="4" max="4" width="11.36328125" customWidth="1"/>
    <col min="5" max="5" width="25.1796875" customWidth="1"/>
    <col min="9" max="9" width="13.36328125" customWidth="1"/>
    <col min="10" max="10" width="8.984375E-2" customWidth="1"/>
    <col min="11" max="11" width="11.1796875" customWidth="1"/>
  </cols>
  <sheetData>
    <row r="1" spans="1:17" ht="18" x14ac:dyDescent="0.4">
      <c r="A1" s="4"/>
      <c r="B1" s="5"/>
      <c r="C1" s="5"/>
      <c r="D1" s="5"/>
      <c r="E1" s="5"/>
      <c r="F1" s="5" t="s">
        <v>0</v>
      </c>
      <c r="G1" s="5"/>
      <c r="H1" s="5"/>
      <c r="I1" s="5"/>
      <c r="J1" s="5"/>
      <c r="K1" s="5"/>
      <c r="L1" s="5"/>
      <c r="M1" s="5"/>
      <c r="N1" s="1"/>
      <c r="O1" s="1"/>
      <c r="P1" s="1"/>
      <c r="Q1" s="1"/>
    </row>
    <row r="2" spans="1:17" ht="18" x14ac:dyDescent="0.4">
      <c r="A2" s="6"/>
      <c r="B2" s="7" t="s">
        <v>8</v>
      </c>
      <c r="C2" s="7"/>
      <c r="D2" s="7"/>
      <c r="E2" s="7"/>
      <c r="F2" s="7" t="s">
        <v>6</v>
      </c>
      <c r="G2" s="7"/>
      <c r="H2" s="7"/>
      <c r="I2" s="7" t="s">
        <v>9</v>
      </c>
      <c r="J2" s="7"/>
      <c r="K2" s="7"/>
      <c r="L2" s="7" t="s">
        <v>35</v>
      </c>
      <c r="M2" s="7"/>
      <c r="N2" s="1"/>
      <c r="O2" s="1"/>
      <c r="P2" s="1"/>
      <c r="Q2" s="1"/>
    </row>
    <row r="3" spans="1:17" ht="18" x14ac:dyDescent="0.4">
      <c r="A3" s="6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7"/>
      <c r="G3" s="5"/>
      <c r="H3" s="5"/>
      <c r="I3" s="5"/>
      <c r="J3" s="5"/>
      <c r="K3" s="5"/>
      <c r="L3" s="5"/>
      <c r="M3" s="5"/>
      <c r="N3" s="1"/>
      <c r="O3" s="1"/>
      <c r="P3" s="1"/>
      <c r="Q3" s="1"/>
    </row>
    <row r="4" spans="1:17" ht="18" x14ac:dyDescent="0.4">
      <c r="A4" s="9" t="s">
        <v>10</v>
      </c>
      <c r="B4" s="10">
        <v>57</v>
      </c>
      <c r="C4" s="10">
        <f>RANK(B4,$B$4:$B$35)</f>
        <v>18</v>
      </c>
      <c r="D4" s="10" t="str">
        <f>IF(B4&gt;=90,"1",IF(B4&gt;=80,"2",IF(B4&gt;=70,"3",IF(B4&gt;=60,"4",IF(B4&gt;=55,"5",IF(B4&gt;=50,"6",IF(B4&gt;=40,"7",IF(B4&gt;=35,"8",IF(B4&gt;=0,"9")))))))))</f>
        <v>5</v>
      </c>
      <c r="E4" s="10" t="str">
        <f>IF(D4="1","Highest",IF(D4="2","Higher",IF(D4="3","High",IF(D4="4","High Average",IF(D4="5","Average",IF(D4="6","Lower Average",IF(D4="7","Low",IF(D4="8","Lower",IF(D4="9","Lowest")))))))))</f>
        <v>Average</v>
      </c>
      <c r="F4" s="3"/>
      <c r="G4" s="2"/>
      <c r="H4" s="2"/>
      <c r="I4" s="2"/>
      <c r="J4" s="2"/>
      <c r="K4" s="2"/>
      <c r="L4" s="2"/>
      <c r="M4" s="2"/>
      <c r="N4" s="1"/>
      <c r="O4" s="1"/>
      <c r="P4" s="1"/>
      <c r="Q4" s="1"/>
    </row>
    <row r="5" spans="1:17" ht="18" x14ac:dyDescent="0.4">
      <c r="A5" s="9" t="s">
        <v>11</v>
      </c>
      <c r="B5" s="10">
        <v>76</v>
      </c>
      <c r="C5" s="10">
        <f t="shared" ref="C5:C28" si="0">RANK(B5,$B$4:$B$35)</f>
        <v>5</v>
      </c>
      <c r="D5" s="10" t="str">
        <f t="shared" ref="D5:D28" si="1">IF(B5&gt;=90,"1",IF(B5&gt;=80,"2",IF(B5&gt;=70,"3",IF(B5&gt;=60,"4",IF(B5&gt;=55,"5",IF(B5&gt;=50,"6",IF(B5&gt;=40,"7",IF(B5&gt;=35,"8",IF(B5&gt;=0,"9")))))))))</f>
        <v>3</v>
      </c>
      <c r="E5" s="10" t="str">
        <f t="shared" ref="E5:E28" si="2">IF(D5="1","Highest",IF(D5="2","Higher",IF(D5="3","High",IF(D5="4","High Average",IF(D5="5","Average",IF(D5="6","Lower Average",IF(D5="7","Low",IF(D5="8","Lower",IF(D5="9","Lowest")))))))))</f>
        <v>High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4">
      <c r="A6" s="9" t="s">
        <v>12</v>
      </c>
      <c r="B6" s="10">
        <v>77</v>
      </c>
      <c r="C6" s="10">
        <f t="shared" si="0"/>
        <v>4</v>
      </c>
      <c r="D6" s="10" t="str">
        <f t="shared" si="1"/>
        <v>3</v>
      </c>
      <c r="E6" s="10" t="str">
        <f t="shared" si="2"/>
        <v>High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" x14ac:dyDescent="0.4">
      <c r="A7" s="9" t="s">
        <v>13</v>
      </c>
      <c r="B7" s="10">
        <v>53</v>
      </c>
      <c r="C7" s="10">
        <f t="shared" si="0"/>
        <v>22</v>
      </c>
      <c r="D7" s="10" t="str">
        <f t="shared" si="1"/>
        <v>6</v>
      </c>
      <c r="E7" s="10" t="str">
        <f t="shared" si="2"/>
        <v>Lower Average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customHeight="1" x14ac:dyDescent="0.4">
      <c r="A8" s="9" t="s">
        <v>14</v>
      </c>
      <c r="B8" s="10">
        <v>66</v>
      </c>
      <c r="C8" s="10">
        <f t="shared" si="0"/>
        <v>12</v>
      </c>
      <c r="D8" s="10" t="str">
        <f t="shared" si="1"/>
        <v>4</v>
      </c>
      <c r="E8" s="10" t="str">
        <f t="shared" si="2"/>
        <v>High Average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customHeight="1" x14ac:dyDescent="0.4">
      <c r="A9" s="9" t="s">
        <v>15</v>
      </c>
      <c r="B9" s="10">
        <v>58</v>
      </c>
      <c r="C9" s="10">
        <f t="shared" si="0"/>
        <v>17</v>
      </c>
      <c r="D9" s="10" t="str">
        <f t="shared" si="1"/>
        <v>5</v>
      </c>
      <c r="E9" s="10" t="str">
        <f t="shared" si="2"/>
        <v>Average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x14ac:dyDescent="0.4">
      <c r="A10" s="9" t="s">
        <v>16</v>
      </c>
      <c r="B10" s="10">
        <v>72</v>
      </c>
      <c r="C10" s="10">
        <f t="shared" si="0"/>
        <v>7</v>
      </c>
      <c r="D10" s="10" t="str">
        <f t="shared" si="1"/>
        <v>3</v>
      </c>
      <c r="E10" s="10" t="str">
        <f t="shared" si="2"/>
        <v>High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customHeight="1" x14ac:dyDescent="0.4">
      <c r="A11" s="9" t="s">
        <v>17</v>
      </c>
      <c r="B11" s="10">
        <v>54</v>
      </c>
      <c r="C11" s="10">
        <f t="shared" si="0"/>
        <v>21</v>
      </c>
      <c r="D11" s="10" t="str">
        <f t="shared" si="1"/>
        <v>6</v>
      </c>
      <c r="E11" s="10" t="str">
        <f t="shared" si="2"/>
        <v>Lower Average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7.25" customHeight="1" x14ac:dyDescent="0.4">
      <c r="A12" s="9" t="s">
        <v>18</v>
      </c>
      <c r="B12" s="10">
        <v>67</v>
      </c>
      <c r="C12" s="10">
        <f t="shared" si="0"/>
        <v>10</v>
      </c>
      <c r="D12" s="10" t="str">
        <f t="shared" si="1"/>
        <v>4</v>
      </c>
      <c r="E12" s="10" t="str">
        <f t="shared" si="2"/>
        <v>High Average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4">
      <c r="A13" s="9" t="s">
        <v>19</v>
      </c>
      <c r="B13" s="10">
        <v>76</v>
      </c>
      <c r="C13" s="10">
        <f t="shared" si="0"/>
        <v>5</v>
      </c>
      <c r="D13" s="10" t="str">
        <f t="shared" si="1"/>
        <v>3</v>
      </c>
      <c r="E13" s="10" t="str">
        <f t="shared" si="2"/>
        <v>High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4">
      <c r="A14" s="9" t="s">
        <v>20</v>
      </c>
      <c r="B14" s="10">
        <v>80</v>
      </c>
      <c r="C14" s="10">
        <f t="shared" si="0"/>
        <v>3</v>
      </c>
      <c r="D14" s="10" t="str">
        <f t="shared" si="1"/>
        <v>2</v>
      </c>
      <c r="E14" s="10" t="str">
        <f t="shared" si="2"/>
        <v>Higher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7.25" customHeight="1" x14ac:dyDescent="0.4">
      <c r="A15" s="9" t="s">
        <v>21</v>
      </c>
      <c r="B15" s="10">
        <v>50</v>
      </c>
      <c r="C15" s="10">
        <f t="shared" si="0"/>
        <v>23</v>
      </c>
      <c r="D15" s="10" t="str">
        <f t="shared" si="1"/>
        <v>6</v>
      </c>
      <c r="E15" s="10" t="str">
        <f t="shared" si="2"/>
        <v>Lower Average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4">
      <c r="A16" s="9" t="s">
        <v>22</v>
      </c>
      <c r="B16" s="10">
        <v>60</v>
      </c>
      <c r="C16" s="10">
        <f t="shared" si="0"/>
        <v>16</v>
      </c>
      <c r="D16" s="10" t="str">
        <f t="shared" si="1"/>
        <v>4</v>
      </c>
      <c r="E16" s="10" t="str">
        <f t="shared" si="2"/>
        <v>High Average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" x14ac:dyDescent="0.4">
      <c r="A17" s="9" t="s">
        <v>23</v>
      </c>
      <c r="B17" s="10">
        <v>63</v>
      </c>
      <c r="C17" s="10">
        <f t="shared" si="0"/>
        <v>14</v>
      </c>
      <c r="D17" s="10" t="str">
        <f t="shared" si="1"/>
        <v>4</v>
      </c>
      <c r="E17" s="10" t="str">
        <f t="shared" si="2"/>
        <v>High Average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4">
      <c r="A18" s="11" t="s">
        <v>24</v>
      </c>
      <c r="B18" s="10">
        <v>72</v>
      </c>
      <c r="C18" s="10">
        <f t="shared" si="0"/>
        <v>7</v>
      </c>
      <c r="D18" s="10" t="str">
        <f t="shared" si="1"/>
        <v>3</v>
      </c>
      <c r="E18" s="10" t="str">
        <f t="shared" si="2"/>
        <v>High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4">
      <c r="A19" s="9" t="s">
        <v>25</v>
      </c>
      <c r="B19" s="10">
        <v>57</v>
      </c>
      <c r="C19" s="10">
        <f t="shared" si="0"/>
        <v>18</v>
      </c>
      <c r="D19" s="10" t="str">
        <f t="shared" si="1"/>
        <v>5</v>
      </c>
      <c r="E19" s="10" t="str">
        <f t="shared" si="2"/>
        <v>Average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4">
      <c r="A20" s="9" t="s">
        <v>26</v>
      </c>
      <c r="B20" s="10">
        <v>64</v>
      </c>
      <c r="C20" s="10">
        <f t="shared" si="0"/>
        <v>13</v>
      </c>
      <c r="D20" s="10" t="str">
        <f t="shared" si="1"/>
        <v>4</v>
      </c>
      <c r="E20" s="10" t="str">
        <f t="shared" si="2"/>
        <v>High Average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4">
      <c r="A21" s="9" t="s">
        <v>27</v>
      </c>
      <c r="B21" s="10">
        <v>56</v>
      </c>
      <c r="C21" s="10">
        <f t="shared" si="0"/>
        <v>20</v>
      </c>
      <c r="D21" s="10" t="str">
        <f t="shared" si="1"/>
        <v>5</v>
      </c>
      <c r="E21" s="10" t="str">
        <f t="shared" si="2"/>
        <v>Average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x14ac:dyDescent="0.4">
      <c r="A22" s="9" t="s">
        <v>28</v>
      </c>
      <c r="B22" s="10">
        <v>67</v>
      </c>
      <c r="C22" s="10">
        <f t="shared" si="0"/>
        <v>10</v>
      </c>
      <c r="D22" s="10" t="str">
        <f t="shared" si="1"/>
        <v>4</v>
      </c>
      <c r="E22" s="10" t="str">
        <f t="shared" si="2"/>
        <v>High Average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4">
      <c r="A23" s="11" t="s">
        <v>29</v>
      </c>
      <c r="B23" s="10">
        <v>41</v>
      </c>
      <c r="C23" s="10">
        <f t="shared" si="0"/>
        <v>24</v>
      </c>
      <c r="D23" s="10" t="str">
        <f t="shared" si="1"/>
        <v>7</v>
      </c>
      <c r="E23" s="10" t="str">
        <f t="shared" si="2"/>
        <v>Low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4">
      <c r="A24" s="9" t="s">
        <v>30</v>
      </c>
      <c r="B24" s="10">
        <v>40</v>
      </c>
      <c r="C24" s="10">
        <f t="shared" si="0"/>
        <v>25</v>
      </c>
      <c r="D24" s="10" t="str">
        <f t="shared" si="1"/>
        <v>7</v>
      </c>
      <c r="E24" s="10" t="str">
        <f t="shared" si="2"/>
        <v>Low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4">
      <c r="A25" s="9" t="s">
        <v>31</v>
      </c>
      <c r="B25" s="10">
        <v>83</v>
      </c>
      <c r="C25" s="10">
        <f t="shared" si="0"/>
        <v>2</v>
      </c>
      <c r="D25" s="10" t="str">
        <f t="shared" si="1"/>
        <v>2</v>
      </c>
      <c r="E25" s="10" t="str">
        <f t="shared" si="2"/>
        <v>Higher</v>
      </c>
      <c r="F25" s="1" t="s">
        <v>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4">
      <c r="A26" s="9" t="s">
        <v>32</v>
      </c>
      <c r="B26" s="10">
        <v>85</v>
      </c>
      <c r="C26" s="10">
        <f t="shared" si="0"/>
        <v>1</v>
      </c>
      <c r="D26" s="10" t="str">
        <f t="shared" si="1"/>
        <v>2</v>
      </c>
      <c r="E26" s="10" t="str">
        <f t="shared" si="2"/>
        <v>Higher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x14ac:dyDescent="0.4">
      <c r="A27" s="9" t="s">
        <v>33</v>
      </c>
      <c r="B27" s="10">
        <v>63</v>
      </c>
      <c r="C27" s="10">
        <f t="shared" si="0"/>
        <v>14</v>
      </c>
      <c r="D27" s="10" t="str">
        <f t="shared" si="1"/>
        <v>4</v>
      </c>
      <c r="E27" s="10" t="str">
        <f t="shared" si="2"/>
        <v>High Average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4">
      <c r="A28" s="9" t="s">
        <v>34</v>
      </c>
      <c r="B28" s="10">
        <v>70</v>
      </c>
      <c r="C28" s="10">
        <f t="shared" si="0"/>
        <v>9</v>
      </c>
      <c r="D28" s="10" t="str">
        <f t="shared" si="1"/>
        <v>3</v>
      </c>
      <c r="E28" s="10" t="str">
        <f t="shared" si="2"/>
        <v>High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" x14ac:dyDescent="0.4">
      <c r="A29" s="1"/>
      <c r="B29" s="3"/>
      <c r="C29" s="3"/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" x14ac:dyDescent="0.4">
      <c r="A30" s="1"/>
      <c r="B30" s="3"/>
      <c r="C30" s="3"/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4">
      <c r="A31" s="1"/>
      <c r="B31" s="3"/>
      <c r="C31" s="3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" x14ac:dyDescent="0.4">
      <c r="A32" s="1"/>
      <c r="B32" s="3"/>
      <c r="C32" s="3"/>
      <c r="D32" s="3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" x14ac:dyDescent="0.4">
      <c r="A33" s="1"/>
      <c r="B33" s="3"/>
      <c r="C33" s="3"/>
      <c r="D33" s="3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x14ac:dyDescent="0.4">
      <c r="A34" s="1"/>
      <c r="B34" s="3"/>
      <c r="C34" s="3"/>
      <c r="D34" s="3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x14ac:dyDescent="0.4">
      <c r="A35" s="1"/>
      <c r="B35" s="3"/>
      <c r="C35" s="3"/>
      <c r="D35" s="3"/>
      <c r="E35" s="3"/>
    </row>
  </sheetData>
  <sortState xmlns:xlrd2="http://schemas.microsoft.com/office/spreadsheetml/2017/richdata2" ref="A5:A34">
    <sortCondition ref="A4:A34"/>
  </sortState>
  <printOptions horizontalCentered="1" verticalCentered="1" gridLines="1"/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SCIENCE</vt:lpstr>
      <vt:lpstr>SCIENCE!Print_Area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Junior Job</dc:creator>
  <cp:lastModifiedBy>Junior Job</cp:lastModifiedBy>
  <cp:lastPrinted>2023-02-24T14:00:27Z</cp:lastPrinted>
  <dcterms:created xsi:type="dcterms:W3CDTF">2022-12-26T12:38:23Z</dcterms:created>
  <dcterms:modified xsi:type="dcterms:W3CDTF">2026-03-13T21:30:24Z</dcterms:modified>
</cp:coreProperties>
</file>